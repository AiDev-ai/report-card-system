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ing main projects\New folder\Report_Card_System\data\Exams\"/>
    </mc:Choice>
  </mc:AlternateContent>
  <xr:revisionPtr revIDLastSave="0" documentId="13_ncr:1_{18765D0C-497E-438F-A310-88287A4F8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Prep" sheetId="38" r:id="rId1"/>
    <sheet name="Class I" sheetId="36" r:id="rId2"/>
    <sheet name="Class  II" sheetId="39" r:id="rId3"/>
    <sheet name="Class III" sheetId="31" r:id="rId4"/>
    <sheet name="Class IV" sheetId="45" r:id="rId5"/>
    <sheet name="Class V" sheetId="34" r:id="rId6"/>
    <sheet name="Class VI" sheetId="43" r:id="rId7"/>
    <sheet name="Class VII" sheetId="33" r:id="rId8"/>
    <sheet name="Class VIII" sheetId="26" r:id="rId9"/>
    <sheet name="Class IX" sheetId="32" r:id="rId10"/>
    <sheet name="Class X" sheetId="42" r:id="rId11"/>
    <sheet name="Summary" sheetId="40" r:id="rId12"/>
  </sheets>
  <definedNames>
    <definedName name="_xlnm.Print_Area" localSheetId="2">'Class  II'!$A$1:$N$35</definedName>
    <definedName name="_xlnm.Print_Area" localSheetId="1">'Class I'!$A$1:$N$28</definedName>
    <definedName name="_xlnm.Print_Area" localSheetId="3">'Class III'!$A$1:$N$46</definedName>
    <definedName name="_xlnm.Print_Area" localSheetId="4">'Class IV'!$A$1:$O$26</definedName>
    <definedName name="_xlnm.Print_Area" localSheetId="9">'Class IX'!$A$1:$O$23</definedName>
    <definedName name="_xlnm.Print_Area" localSheetId="0">'Class Prep'!$A$1:$L$29</definedName>
    <definedName name="_xlnm.Print_Area" localSheetId="5">'Class V'!$A$1:$O$41</definedName>
    <definedName name="_xlnm.Print_Area" localSheetId="6">'Class VI'!$A$1:$O$24</definedName>
    <definedName name="_xlnm.Print_Area" localSheetId="7">'Class VII'!$A$1:$O$22</definedName>
    <definedName name="_xlnm.Print_Area" localSheetId="8">'Class VIII'!$A$1:$O$35</definedName>
    <definedName name="_xlnm.Print_Area" localSheetId="10">'Class X'!$A$1:$O$20</definedName>
  </definedNames>
  <calcPr calcId="181029"/>
</workbook>
</file>

<file path=xl/calcChain.xml><?xml version="1.0" encoding="utf-8"?>
<calcChain xmlns="http://schemas.openxmlformats.org/spreadsheetml/2006/main">
  <c r="M14" i="43" l="1"/>
  <c r="N14" i="43" s="1"/>
  <c r="O14" i="43" s="1"/>
  <c r="D19" i="43"/>
  <c r="E31" i="26"/>
  <c r="F31" i="26"/>
  <c r="G31" i="26"/>
  <c r="H31" i="26"/>
  <c r="I31" i="26"/>
  <c r="J31" i="26"/>
  <c r="K31" i="26"/>
  <c r="D31" i="26"/>
  <c r="E30" i="26"/>
  <c r="F30" i="26"/>
  <c r="G30" i="26"/>
  <c r="H30" i="26"/>
  <c r="I30" i="26"/>
  <c r="J30" i="26"/>
  <c r="K30" i="26"/>
  <c r="D30" i="26"/>
  <c r="D37" i="34"/>
  <c r="C42" i="31"/>
  <c r="L7" i="31" l="1"/>
  <c r="L6" i="31"/>
  <c r="M6" i="31"/>
  <c r="D43" i="31"/>
  <c r="C43" i="31"/>
  <c r="E43" i="31"/>
  <c r="F43" i="31"/>
  <c r="I43" i="31"/>
  <c r="D42" i="31"/>
  <c r="E42" i="31"/>
  <c r="F42" i="31"/>
  <c r="G42" i="31"/>
  <c r="G43" i="31" s="1"/>
  <c r="H42" i="31"/>
  <c r="H43" i="31" s="1"/>
  <c r="I42" i="31"/>
  <c r="D31" i="39"/>
  <c r="E31" i="39"/>
  <c r="F31" i="39"/>
  <c r="G31" i="39"/>
  <c r="H31" i="39"/>
  <c r="I31" i="39"/>
  <c r="D30" i="39"/>
  <c r="E30" i="39"/>
  <c r="F30" i="39"/>
  <c r="G30" i="39"/>
  <c r="H30" i="39"/>
  <c r="I30" i="39"/>
  <c r="C31" i="39"/>
  <c r="C30" i="39"/>
  <c r="L7" i="39"/>
  <c r="L6" i="39"/>
  <c r="M6" i="39"/>
  <c r="G51" i="40" l="1"/>
  <c r="H51" i="40"/>
  <c r="I51" i="40"/>
  <c r="J51" i="40"/>
  <c r="K51" i="40"/>
  <c r="L51" i="40"/>
  <c r="M51" i="40"/>
  <c r="F51" i="40"/>
  <c r="G50" i="40"/>
  <c r="H50" i="40"/>
  <c r="I50" i="40"/>
  <c r="J50" i="40"/>
  <c r="K50" i="40"/>
  <c r="L50" i="40"/>
  <c r="M50" i="40"/>
  <c r="F50" i="40"/>
  <c r="G49" i="40"/>
  <c r="H49" i="40"/>
  <c r="I49" i="40"/>
  <c r="J49" i="40"/>
  <c r="K49" i="40"/>
  <c r="L49" i="40"/>
  <c r="M49" i="40"/>
  <c r="F49" i="40"/>
  <c r="G48" i="40"/>
  <c r="H48" i="40"/>
  <c r="I48" i="40"/>
  <c r="J48" i="40"/>
  <c r="K48" i="40"/>
  <c r="L48" i="40"/>
  <c r="M48" i="40"/>
  <c r="F48" i="40"/>
  <c r="F55" i="40"/>
  <c r="C49" i="40"/>
  <c r="C50" i="40"/>
  <c r="C51" i="40"/>
  <c r="C48" i="40"/>
  <c r="K56" i="40"/>
  <c r="L56" i="40"/>
  <c r="F56" i="40"/>
  <c r="G42" i="40"/>
  <c r="H42" i="40"/>
  <c r="I42" i="40"/>
  <c r="J42" i="40"/>
  <c r="K42" i="40"/>
  <c r="L42" i="40"/>
  <c r="M42" i="40"/>
  <c r="F42" i="40"/>
  <c r="F35" i="40"/>
  <c r="G28" i="40"/>
  <c r="H28" i="40"/>
  <c r="I28" i="40"/>
  <c r="J28" i="40"/>
  <c r="K28" i="40"/>
  <c r="L28" i="40"/>
  <c r="M28" i="40"/>
  <c r="F28" i="40"/>
  <c r="H21" i="40"/>
  <c r="J21" i="40"/>
  <c r="K21" i="40"/>
  <c r="F21" i="40"/>
  <c r="G14" i="40"/>
  <c r="H14" i="40"/>
  <c r="I14" i="40"/>
  <c r="J14" i="40"/>
  <c r="K14" i="40"/>
  <c r="L14" i="40"/>
  <c r="M14" i="40"/>
  <c r="F14" i="40"/>
  <c r="M7" i="40"/>
  <c r="G7" i="40"/>
  <c r="H7" i="40"/>
  <c r="I7" i="40"/>
  <c r="J7" i="40"/>
  <c r="K7" i="40"/>
  <c r="L7" i="40"/>
  <c r="F7" i="40"/>
  <c r="F41" i="40"/>
  <c r="F34" i="40"/>
  <c r="F27" i="40"/>
  <c r="F20" i="40"/>
  <c r="E20" i="32"/>
  <c r="F20" i="32"/>
  <c r="G20" i="32"/>
  <c r="H20" i="32"/>
  <c r="I20" i="32"/>
  <c r="J20" i="32"/>
  <c r="K20" i="32"/>
  <c r="E19" i="32"/>
  <c r="F19" i="32"/>
  <c r="G19" i="32"/>
  <c r="H19" i="32"/>
  <c r="I19" i="32"/>
  <c r="J19" i="32"/>
  <c r="K19" i="32"/>
  <c r="D20" i="32"/>
  <c r="D19" i="32"/>
  <c r="C13" i="40"/>
  <c r="F8" i="40"/>
  <c r="O7" i="32"/>
  <c r="O8" i="32"/>
  <c r="O9" i="32"/>
  <c r="O10" i="32"/>
  <c r="O11" i="32"/>
  <c r="O12" i="32"/>
  <c r="O6" i="32"/>
  <c r="N6" i="32"/>
  <c r="N12" i="32"/>
  <c r="N8" i="32"/>
  <c r="N7" i="32"/>
  <c r="N9" i="32"/>
  <c r="N10" i="32"/>
  <c r="N11" i="32"/>
  <c r="G21" i="40"/>
  <c r="L21" i="40"/>
  <c r="M21" i="40"/>
  <c r="I21" i="40"/>
  <c r="M18" i="26"/>
  <c r="E18" i="33"/>
  <c r="F18" i="33"/>
  <c r="G18" i="33"/>
  <c r="H18" i="33"/>
  <c r="I18" i="33"/>
  <c r="J18" i="33"/>
  <c r="E17" i="33"/>
  <c r="F17" i="33"/>
  <c r="G17" i="33"/>
  <c r="H17" i="33"/>
  <c r="I17" i="33"/>
  <c r="J17" i="33"/>
  <c r="K17" i="33"/>
  <c r="K18" i="33" s="1"/>
  <c r="D18" i="33"/>
  <c r="D17" i="33"/>
  <c r="E20" i="43"/>
  <c r="G35" i="40" s="1"/>
  <c r="G20" i="43"/>
  <c r="I35" i="40" s="1"/>
  <c r="H20" i="43"/>
  <c r="J35" i="40" s="1"/>
  <c r="I20" i="43"/>
  <c r="K35" i="40" s="1"/>
  <c r="E19" i="43"/>
  <c r="F19" i="43"/>
  <c r="F20" i="43" s="1"/>
  <c r="H35" i="40" s="1"/>
  <c r="G19" i="43"/>
  <c r="H19" i="43"/>
  <c r="I19" i="43"/>
  <c r="J19" i="43"/>
  <c r="J20" i="43" s="1"/>
  <c r="L35" i="40" s="1"/>
  <c r="K19" i="43"/>
  <c r="K20" i="43" s="1"/>
  <c r="M35" i="40" s="1"/>
  <c r="D20" i="43"/>
  <c r="E38" i="34"/>
  <c r="F38" i="34"/>
  <c r="G38" i="34"/>
  <c r="H38" i="34"/>
  <c r="I38" i="34"/>
  <c r="J38" i="34"/>
  <c r="K38" i="34"/>
  <c r="D38" i="34"/>
  <c r="E37" i="34"/>
  <c r="F37" i="34"/>
  <c r="G37" i="34"/>
  <c r="H37" i="34"/>
  <c r="I37" i="34"/>
  <c r="J37" i="34"/>
  <c r="K37" i="34"/>
  <c r="E23" i="45"/>
  <c r="F23" i="45"/>
  <c r="G23" i="45"/>
  <c r="H23" i="45"/>
  <c r="I23" i="45"/>
  <c r="J23" i="45"/>
  <c r="K23" i="45"/>
  <c r="E22" i="45"/>
  <c r="F22" i="45"/>
  <c r="G22" i="45"/>
  <c r="H22" i="45"/>
  <c r="I22" i="45"/>
  <c r="J22" i="45"/>
  <c r="K22" i="45"/>
  <c r="D23" i="45"/>
  <c r="D22" i="45"/>
  <c r="G56" i="40"/>
  <c r="I56" i="40"/>
  <c r="J56" i="40"/>
  <c r="H56" i="40"/>
  <c r="M33" i="39"/>
  <c r="M7" i="45"/>
  <c r="N7" i="45" s="1"/>
  <c r="O7" i="45" s="1"/>
  <c r="M8" i="45"/>
  <c r="N8" i="45" s="1"/>
  <c r="O8" i="45" s="1"/>
  <c r="M9" i="45"/>
  <c r="M10" i="45"/>
  <c r="M11" i="45"/>
  <c r="N11" i="45" s="1"/>
  <c r="O11" i="45" s="1"/>
  <c r="M12" i="45"/>
  <c r="N12" i="45" s="1"/>
  <c r="O12" i="45" s="1"/>
  <c r="M13" i="45"/>
  <c r="M14" i="45"/>
  <c r="N14" i="45" s="1"/>
  <c r="O14" i="45" s="1"/>
  <c r="M15" i="45"/>
  <c r="N15" i="45" s="1"/>
  <c r="O15" i="45" s="1"/>
  <c r="M16" i="45"/>
  <c r="N16" i="45" s="1"/>
  <c r="O16" i="45" s="1"/>
  <c r="M6" i="45"/>
  <c r="N6" i="39"/>
  <c r="L7" i="36"/>
  <c r="L8" i="36"/>
  <c r="L9" i="36"/>
  <c r="L10" i="36"/>
  <c r="L11" i="36"/>
  <c r="L12" i="36"/>
  <c r="L13" i="36"/>
  <c r="L14" i="36"/>
  <c r="L15" i="36"/>
  <c r="L16" i="36"/>
  <c r="L17" i="36"/>
  <c r="L18" i="36"/>
  <c r="L6" i="36"/>
  <c r="J7" i="38"/>
  <c r="K7" i="38" s="1"/>
  <c r="J8" i="38"/>
  <c r="K8" i="38" s="1"/>
  <c r="J9" i="38"/>
  <c r="K9" i="38"/>
  <c r="J10" i="38"/>
  <c r="K10" i="38"/>
  <c r="J11" i="38"/>
  <c r="K11" i="38" s="1"/>
  <c r="J12" i="38"/>
  <c r="K12" i="38" s="1"/>
  <c r="J13" i="38"/>
  <c r="K13" i="38" s="1"/>
  <c r="J14" i="38"/>
  <c r="K14" i="38"/>
  <c r="J15" i="38"/>
  <c r="K15" i="38" s="1"/>
  <c r="J16" i="38"/>
  <c r="K16" i="38"/>
  <c r="J17" i="38"/>
  <c r="K17" i="38" s="1"/>
  <c r="J18" i="38"/>
  <c r="K18" i="38"/>
  <c r="J19" i="38"/>
  <c r="K19" i="38" s="1"/>
  <c r="J20" i="38"/>
  <c r="K20" i="38"/>
  <c r="O9" i="45"/>
  <c r="O6" i="45"/>
  <c r="N9" i="45"/>
  <c r="N10" i="45"/>
  <c r="O10" i="45" s="1"/>
  <c r="N13" i="45"/>
  <c r="O13" i="45" s="1"/>
  <c r="N6" i="45"/>
  <c r="L35" i="31"/>
  <c r="L36" i="31"/>
  <c r="M7" i="31"/>
  <c r="N7" i="31" s="1"/>
  <c r="M13" i="31"/>
  <c r="N13" i="31" s="1"/>
  <c r="M15" i="31"/>
  <c r="N15" i="31" s="1"/>
  <c r="M21" i="31"/>
  <c r="N21" i="31" s="1"/>
  <c r="M23" i="31"/>
  <c r="N23" i="31" s="1"/>
  <c r="M29" i="31"/>
  <c r="N29" i="31" s="1"/>
  <c r="M31" i="31"/>
  <c r="N31" i="31" s="1"/>
  <c r="M35" i="31"/>
  <c r="N35" i="31" s="1"/>
  <c r="M36" i="31"/>
  <c r="N36" i="31" s="1"/>
  <c r="M37" i="31"/>
  <c r="N37" i="31" s="1"/>
  <c r="L8" i="31"/>
  <c r="M8" i="31" s="1"/>
  <c r="N8" i="31" s="1"/>
  <c r="L9" i="31"/>
  <c r="M9" i="31" s="1"/>
  <c r="N9" i="31" s="1"/>
  <c r="L10" i="31"/>
  <c r="M10" i="31" s="1"/>
  <c r="N10" i="31" s="1"/>
  <c r="L11" i="31"/>
  <c r="M11" i="31" s="1"/>
  <c r="N11" i="31" s="1"/>
  <c r="L12" i="31"/>
  <c r="M12" i="31" s="1"/>
  <c r="N12" i="31" s="1"/>
  <c r="L13" i="31"/>
  <c r="L14" i="31"/>
  <c r="M14" i="31" s="1"/>
  <c r="N14" i="31" s="1"/>
  <c r="L15" i="31"/>
  <c r="L16" i="31"/>
  <c r="M16" i="31" s="1"/>
  <c r="N16" i="31" s="1"/>
  <c r="L17" i="31"/>
  <c r="M17" i="31" s="1"/>
  <c r="N17" i="31" s="1"/>
  <c r="L18" i="31"/>
  <c r="M18" i="31" s="1"/>
  <c r="N18" i="31" s="1"/>
  <c r="L19" i="31"/>
  <c r="M19" i="31" s="1"/>
  <c r="N19" i="31" s="1"/>
  <c r="L20" i="31"/>
  <c r="M20" i="31" s="1"/>
  <c r="N20" i="31" s="1"/>
  <c r="L21" i="31"/>
  <c r="L22" i="31"/>
  <c r="M22" i="31" s="1"/>
  <c r="N22" i="31" s="1"/>
  <c r="L23" i="31"/>
  <c r="L24" i="31"/>
  <c r="M24" i="31" s="1"/>
  <c r="N24" i="31" s="1"/>
  <c r="L25" i="31"/>
  <c r="M25" i="31" s="1"/>
  <c r="N25" i="31" s="1"/>
  <c r="L26" i="31"/>
  <c r="M26" i="31" s="1"/>
  <c r="N26" i="31" s="1"/>
  <c r="L27" i="31"/>
  <c r="M27" i="31" s="1"/>
  <c r="N27" i="31" s="1"/>
  <c r="L28" i="31"/>
  <c r="M28" i="31" s="1"/>
  <c r="N28" i="31" s="1"/>
  <c r="L29" i="31"/>
  <c r="L30" i="31"/>
  <c r="M30" i="31" s="1"/>
  <c r="N30" i="31" s="1"/>
  <c r="L31" i="31"/>
  <c r="L32" i="31"/>
  <c r="M32" i="31" s="1"/>
  <c r="N32" i="31" s="1"/>
  <c r="L33" i="31"/>
  <c r="M33" i="31" s="1"/>
  <c r="N33" i="31" s="1"/>
  <c r="L34" i="31"/>
  <c r="M34" i="31" s="1"/>
  <c r="N34" i="31" s="1"/>
  <c r="L37" i="31"/>
  <c r="M7" i="39"/>
  <c r="N7" i="39" s="1"/>
  <c r="L8" i="39"/>
  <c r="M8" i="39" s="1"/>
  <c r="N8" i="39" s="1"/>
  <c r="L9" i="39"/>
  <c r="M9" i="39" s="1"/>
  <c r="N9" i="39" s="1"/>
  <c r="L10" i="39"/>
  <c r="L11" i="39"/>
  <c r="L12" i="39"/>
  <c r="M12" i="39" s="1"/>
  <c r="N12" i="39" s="1"/>
  <c r="L13" i="39"/>
  <c r="L14" i="39"/>
  <c r="M14" i="39" s="1"/>
  <c r="N14" i="39" s="1"/>
  <c r="L15" i="39"/>
  <c r="M15" i="39" s="1"/>
  <c r="N15" i="39" s="1"/>
  <c r="L16" i="39"/>
  <c r="M16" i="39" s="1"/>
  <c r="N16" i="39" s="1"/>
  <c r="L17" i="39"/>
  <c r="M17" i="39" s="1"/>
  <c r="N17" i="39" s="1"/>
  <c r="L18" i="39"/>
  <c r="L19" i="39"/>
  <c r="L20" i="39"/>
  <c r="M20" i="39" s="1"/>
  <c r="N20" i="39" s="1"/>
  <c r="L21" i="39"/>
  <c r="L22" i="39"/>
  <c r="M22" i="39" s="1"/>
  <c r="N22" i="39" s="1"/>
  <c r="L23" i="39"/>
  <c r="M23" i="39" s="1"/>
  <c r="N23" i="39" s="1"/>
  <c r="L24" i="39"/>
  <c r="M24" i="39" s="1"/>
  <c r="N24" i="39" s="1"/>
  <c r="L25" i="39"/>
  <c r="M25" i="39" s="1"/>
  <c r="N25" i="39" s="1"/>
  <c r="L26" i="39"/>
  <c r="M21" i="39"/>
  <c r="N21" i="39" s="1"/>
  <c r="M10" i="39"/>
  <c r="N10" i="39" s="1"/>
  <c r="M11" i="39"/>
  <c r="N11" i="39" s="1"/>
  <c r="M13" i="39"/>
  <c r="N13" i="39" s="1"/>
  <c r="M18" i="39"/>
  <c r="N18" i="39" s="1"/>
  <c r="M19" i="39"/>
  <c r="N19" i="39" s="1"/>
  <c r="M26" i="39"/>
  <c r="N26" i="39" s="1"/>
  <c r="C52" i="40" l="1"/>
  <c r="C53" i="40" s="1"/>
  <c r="I78" i="40"/>
  <c r="H78" i="40"/>
  <c r="G78" i="40"/>
  <c r="F78" i="40"/>
  <c r="C78" i="40"/>
  <c r="H77" i="40"/>
  <c r="H79" i="40" s="1"/>
  <c r="C77" i="40"/>
  <c r="I76" i="40"/>
  <c r="I77" i="40" s="1"/>
  <c r="I79" i="40" s="1"/>
  <c r="H76" i="40"/>
  <c r="G76" i="40"/>
  <c r="G77" i="40" s="1"/>
  <c r="G79" i="40" s="1"/>
  <c r="F76" i="40"/>
  <c r="F77" i="40" s="1"/>
  <c r="F79" i="40" s="1"/>
  <c r="C76" i="40"/>
  <c r="L71" i="40"/>
  <c r="K71" i="40"/>
  <c r="J71" i="40"/>
  <c r="I71" i="40"/>
  <c r="H71" i="40"/>
  <c r="G71" i="40"/>
  <c r="F71" i="40"/>
  <c r="C71" i="40"/>
  <c r="C70" i="40"/>
  <c r="L69" i="40"/>
  <c r="L70" i="40" s="1"/>
  <c r="L72" i="40" s="1"/>
  <c r="K69" i="40"/>
  <c r="K70" i="40" s="1"/>
  <c r="K72" i="40" s="1"/>
  <c r="J69" i="40"/>
  <c r="J70" i="40" s="1"/>
  <c r="J72" i="40" s="1"/>
  <c r="I69" i="40"/>
  <c r="I70" i="40" s="1"/>
  <c r="I72" i="40" s="1"/>
  <c r="H69" i="40"/>
  <c r="H70" i="40" s="1"/>
  <c r="H72" i="40" s="1"/>
  <c r="G69" i="40"/>
  <c r="G70" i="40" s="1"/>
  <c r="G72" i="40" s="1"/>
  <c r="F69" i="40"/>
  <c r="F70" i="40" s="1"/>
  <c r="F72" i="40" s="1"/>
  <c r="C69" i="40"/>
  <c r="L64" i="40"/>
  <c r="K64" i="40"/>
  <c r="J64" i="40"/>
  <c r="I64" i="40"/>
  <c r="H64" i="40"/>
  <c r="G64" i="40"/>
  <c r="F64" i="40"/>
  <c r="C64" i="40"/>
  <c r="C63" i="40"/>
  <c r="C62" i="40"/>
  <c r="L57" i="40"/>
  <c r="K57" i="40"/>
  <c r="J57" i="40"/>
  <c r="I57" i="40"/>
  <c r="H57" i="40"/>
  <c r="G57" i="40"/>
  <c r="F57" i="40"/>
  <c r="C57" i="40"/>
  <c r="C56" i="40"/>
  <c r="H55" i="40"/>
  <c r="H58" i="40" s="1"/>
  <c r="F58" i="40"/>
  <c r="C55" i="40"/>
  <c r="M43" i="40"/>
  <c r="L43" i="40"/>
  <c r="K43" i="40"/>
  <c r="J43" i="40"/>
  <c r="I43" i="40"/>
  <c r="H43" i="40"/>
  <c r="G43" i="40"/>
  <c r="F43" i="40"/>
  <c r="C43" i="40"/>
  <c r="K44" i="40"/>
  <c r="C42" i="40"/>
  <c r="C45" i="40" s="1"/>
  <c r="C46" i="40" s="1"/>
  <c r="M41" i="40"/>
  <c r="M44" i="40" s="1"/>
  <c r="L41" i="40"/>
  <c r="L44" i="40" s="1"/>
  <c r="K41" i="40"/>
  <c r="J41" i="40"/>
  <c r="J44" i="40" s="1"/>
  <c r="I41" i="40"/>
  <c r="I44" i="40" s="1"/>
  <c r="H41" i="40"/>
  <c r="H44" i="40" s="1"/>
  <c r="G41" i="40"/>
  <c r="G44" i="40" s="1"/>
  <c r="F44" i="40"/>
  <c r="C41" i="40"/>
  <c r="M36" i="40"/>
  <c r="L36" i="40"/>
  <c r="K36" i="40"/>
  <c r="J36" i="40"/>
  <c r="I36" i="40"/>
  <c r="H36" i="40"/>
  <c r="G36" i="40"/>
  <c r="F36" i="40"/>
  <c r="C36" i="40"/>
  <c r="C35" i="40"/>
  <c r="C38" i="40" s="1"/>
  <c r="C39" i="40" s="1"/>
  <c r="M34" i="40"/>
  <c r="M37" i="40" s="1"/>
  <c r="L34" i="40"/>
  <c r="L37" i="40" s="1"/>
  <c r="K34" i="40"/>
  <c r="K37" i="40" s="1"/>
  <c r="J34" i="40"/>
  <c r="J37" i="40" s="1"/>
  <c r="I34" i="40"/>
  <c r="I37" i="40" s="1"/>
  <c r="H34" i="40"/>
  <c r="H37" i="40" s="1"/>
  <c r="G34" i="40"/>
  <c r="G37" i="40" s="1"/>
  <c r="F37" i="40"/>
  <c r="C34" i="40"/>
  <c r="M29" i="40"/>
  <c r="L29" i="40"/>
  <c r="K29" i="40"/>
  <c r="J29" i="40"/>
  <c r="I29" i="40"/>
  <c r="H29" i="40"/>
  <c r="G29" i="40"/>
  <c r="F29" i="40"/>
  <c r="C29" i="40"/>
  <c r="C31" i="40" s="1"/>
  <c r="C32" i="40" s="1"/>
  <c r="C28" i="40"/>
  <c r="C30" i="40" s="1"/>
  <c r="M27" i="40"/>
  <c r="M30" i="40" s="1"/>
  <c r="L27" i="40"/>
  <c r="L30" i="40" s="1"/>
  <c r="K27" i="40"/>
  <c r="K30" i="40" s="1"/>
  <c r="J27" i="40"/>
  <c r="J30" i="40" s="1"/>
  <c r="I27" i="40"/>
  <c r="I30" i="40" s="1"/>
  <c r="H27" i="40"/>
  <c r="H30" i="40" s="1"/>
  <c r="G27" i="40"/>
  <c r="G30" i="40" s="1"/>
  <c r="F30" i="40"/>
  <c r="C27" i="40"/>
  <c r="M22" i="40"/>
  <c r="L22" i="40"/>
  <c r="K22" i="40"/>
  <c r="J22" i="40"/>
  <c r="I22" i="40"/>
  <c r="H22" i="40"/>
  <c r="G22" i="40"/>
  <c r="F22" i="40"/>
  <c r="C22" i="40"/>
  <c r="C21" i="40"/>
  <c r="M20" i="40"/>
  <c r="M23" i="40" s="1"/>
  <c r="L20" i="40"/>
  <c r="L23" i="40" s="1"/>
  <c r="K20" i="40"/>
  <c r="K23" i="40" s="1"/>
  <c r="J20" i="40"/>
  <c r="J23" i="40" s="1"/>
  <c r="I20" i="40"/>
  <c r="I23" i="40" s="1"/>
  <c r="H20" i="40"/>
  <c r="H23" i="40" s="1"/>
  <c r="G20" i="40"/>
  <c r="G23" i="40" s="1"/>
  <c r="F23" i="40"/>
  <c r="C20" i="40"/>
  <c r="M15" i="40"/>
  <c r="L15" i="40"/>
  <c r="K15" i="40"/>
  <c r="J15" i="40"/>
  <c r="I15" i="40"/>
  <c r="H15" i="40"/>
  <c r="G15" i="40"/>
  <c r="F15" i="40"/>
  <c r="C15" i="40"/>
  <c r="C16" i="40" s="1"/>
  <c r="H16" i="40"/>
  <c r="C14" i="40"/>
  <c r="M13" i="40"/>
  <c r="M16" i="40" s="1"/>
  <c r="L13" i="40"/>
  <c r="L16" i="40" s="1"/>
  <c r="K13" i="40"/>
  <c r="K16" i="40" s="1"/>
  <c r="J13" i="40"/>
  <c r="J16" i="40" s="1"/>
  <c r="I13" i="40"/>
  <c r="I16" i="40" s="1"/>
  <c r="H13" i="40"/>
  <c r="G13" i="40"/>
  <c r="G16" i="40" s="1"/>
  <c r="F13" i="40"/>
  <c r="F16" i="40" s="1"/>
  <c r="M9" i="40"/>
  <c r="L9" i="40"/>
  <c r="K9" i="40"/>
  <c r="J9" i="40"/>
  <c r="I9" i="40"/>
  <c r="H9" i="40"/>
  <c r="G9" i="40"/>
  <c r="F9" i="40"/>
  <c r="M8" i="40"/>
  <c r="L8" i="40"/>
  <c r="K8" i="40"/>
  <c r="J8" i="40"/>
  <c r="I8" i="40"/>
  <c r="H8" i="40"/>
  <c r="G8" i="40"/>
  <c r="C8" i="40"/>
  <c r="C9" i="40" s="1"/>
  <c r="C7" i="40"/>
  <c r="M6" i="40"/>
  <c r="L6" i="40"/>
  <c r="K6" i="40"/>
  <c r="J6" i="40"/>
  <c r="I6" i="40"/>
  <c r="H6" i="40"/>
  <c r="G6" i="40"/>
  <c r="F6" i="40"/>
  <c r="C6" i="40"/>
  <c r="N18" i="42"/>
  <c r="N17" i="42"/>
  <c r="K17" i="42"/>
  <c r="J17" i="42"/>
  <c r="I17" i="42"/>
  <c r="H17" i="42"/>
  <c r="G17" i="42"/>
  <c r="F17" i="42"/>
  <c r="E17" i="42"/>
  <c r="D17" i="42"/>
  <c r="N16" i="42"/>
  <c r="K15" i="42"/>
  <c r="J15" i="42"/>
  <c r="I15" i="42"/>
  <c r="H15" i="42"/>
  <c r="G15" i="42"/>
  <c r="F15" i="42"/>
  <c r="E15" i="42"/>
  <c r="D15" i="42"/>
  <c r="K14" i="42"/>
  <c r="J14" i="42"/>
  <c r="I14" i="42"/>
  <c r="H14" i="42"/>
  <c r="G14" i="42"/>
  <c r="F14" i="42"/>
  <c r="E14" i="42"/>
  <c r="D14" i="42"/>
  <c r="O8" i="42"/>
  <c r="N8" i="42"/>
  <c r="M8" i="42"/>
  <c r="O7" i="42"/>
  <c r="N7" i="42"/>
  <c r="M7" i="42"/>
  <c r="O6" i="42"/>
  <c r="N6" i="42"/>
  <c r="M6" i="42"/>
  <c r="L5" i="42"/>
  <c r="N22" i="32"/>
  <c r="N23" i="32" s="1"/>
  <c r="J22" i="32"/>
  <c r="F22" i="32"/>
  <c r="N21" i="32"/>
  <c r="K22" i="32"/>
  <c r="I22" i="32"/>
  <c r="H22" i="32"/>
  <c r="G22" i="32"/>
  <c r="E22" i="32"/>
  <c r="D22" i="32"/>
  <c r="M12" i="32"/>
  <c r="M11" i="32"/>
  <c r="M10" i="32"/>
  <c r="M9" i="32"/>
  <c r="M8" i="32"/>
  <c r="M7" i="32"/>
  <c r="M6" i="32"/>
  <c r="L5" i="32"/>
  <c r="N34" i="26"/>
  <c r="N35" i="26" s="1"/>
  <c r="N33" i="26"/>
  <c r="J33" i="26"/>
  <c r="I33" i="26"/>
  <c r="H33" i="26"/>
  <c r="G33" i="26"/>
  <c r="K33" i="26"/>
  <c r="F33" i="26"/>
  <c r="E33" i="26"/>
  <c r="D33" i="26"/>
  <c r="M24" i="26"/>
  <c r="N24" i="26" s="1"/>
  <c r="O24" i="26" s="1"/>
  <c r="M23" i="26"/>
  <c r="N23" i="26" s="1"/>
  <c r="O23" i="26" s="1"/>
  <c r="O22" i="26"/>
  <c r="N22" i="26"/>
  <c r="M22" i="26"/>
  <c r="M21" i="26"/>
  <c r="N21" i="26" s="1"/>
  <c r="O21" i="26" s="1"/>
  <c r="N20" i="26"/>
  <c r="O20" i="26" s="1"/>
  <c r="M20" i="26"/>
  <c r="M19" i="26"/>
  <c r="N19" i="26" s="1"/>
  <c r="O19" i="26" s="1"/>
  <c r="N18" i="26"/>
  <c r="O18" i="26" s="1"/>
  <c r="O17" i="26"/>
  <c r="N17" i="26"/>
  <c r="M17" i="26"/>
  <c r="O16" i="26"/>
  <c r="N16" i="26"/>
  <c r="M16" i="26"/>
  <c r="O15" i="26"/>
  <c r="N15" i="26"/>
  <c r="M15" i="26"/>
  <c r="O14" i="26"/>
  <c r="N14" i="26"/>
  <c r="M14" i="26"/>
  <c r="M13" i="26"/>
  <c r="N13" i="26" s="1"/>
  <c r="O13" i="26" s="1"/>
  <c r="O12" i="26"/>
  <c r="N12" i="26"/>
  <c r="M12" i="26"/>
  <c r="O11" i="26"/>
  <c r="N11" i="26"/>
  <c r="M11" i="26"/>
  <c r="O10" i="26"/>
  <c r="N10" i="26"/>
  <c r="M10" i="26"/>
  <c r="O9" i="26"/>
  <c r="N9" i="26"/>
  <c r="M9" i="26"/>
  <c r="O8" i="26"/>
  <c r="N8" i="26"/>
  <c r="M8" i="26"/>
  <c r="O7" i="26"/>
  <c r="N7" i="26"/>
  <c r="M7" i="26"/>
  <c r="O6" i="26"/>
  <c r="N6" i="26"/>
  <c r="M6" i="26"/>
  <c r="L5" i="26"/>
  <c r="N21" i="33"/>
  <c r="N22" i="33" s="1"/>
  <c r="N20" i="33"/>
  <c r="K20" i="33"/>
  <c r="J20" i="33"/>
  <c r="G20" i="33"/>
  <c r="I20" i="33"/>
  <c r="H20" i="33"/>
  <c r="F20" i="33"/>
  <c r="E20" i="33"/>
  <c r="D20" i="33"/>
  <c r="O12" i="33"/>
  <c r="N12" i="33"/>
  <c r="M12" i="33"/>
  <c r="O11" i="33"/>
  <c r="N11" i="33"/>
  <c r="M11" i="33"/>
  <c r="O10" i="33"/>
  <c r="N10" i="33"/>
  <c r="M10" i="33"/>
  <c r="O9" i="33"/>
  <c r="N9" i="33"/>
  <c r="M9" i="33"/>
  <c r="N8" i="33"/>
  <c r="O8" i="33" s="1"/>
  <c r="M8" i="33"/>
  <c r="O7" i="33"/>
  <c r="N7" i="33"/>
  <c r="M7" i="33"/>
  <c r="O6" i="33"/>
  <c r="N6" i="33"/>
  <c r="M6" i="33"/>
  <c r="L5" i="33"/>
  <c r="N23" i="43"/>
  <c r="N24" i="43" s="1"/>
  <c r="N22" i="43"/>
  <c r="J22" i="43"/>
  <c r="I22" i="43"/>
  <c r="F22" i="43"/>
  <c r="E22" i="43"/>
  <c r="K22" i="43"/>
  <c r="H22" i="43"/>
  <c r="G22" i="43"/>
  <c r="D22" i="43"/>
  <c r="N15" i="43"/>
  <c r="O15" i="43" s="1"/>
  <c r="M15" i="43"/>
  <c r="M13" i="43"/>
  <c r="N13" i="43" s="1"/>
  <c r="O13" i="43" s="1"/>
  <c r="M12" i="43"/>
  <c r="N12" i="43" s="1"/>
  <c r="O12" i="43" s="1"/>
  <c r="O11" i="43"/>
  <c r="N11" i="43"/>
  <c r="M11" i="43"/>
  <c r="M10" i="43"/>
  <c r="N10" i="43" s="1"/>
  <c r="O10" i="43" s="1"/>
  <c r="M9" i="43"/>
  <c r="N9" i="43" s="1"/>
  <c r="O9" i="43" s="1"/>
  <c r="M8" i="43"/>
  <c r="N8" i="43" s="1"/>
  <c r="O8" i="43" s="1"/>
  <c r="M7" i="43"/>
  <c r="M6" i="43"/>
  <c r="N6" i="43" s="1"/>
  <c r="O6" i="43" s="1"/>
  <c r="L5" i="43"/>
  <c r="V41" i="34"/>
  <c r="N40" i="34"/>
  <c r="N41" i="34" s="1"/>
  <c r="N39" i="34"/>
  <c r="K40" i="34"/>
  <c r="J40" i="34"/>
  <c r="I40" i="34"/>
  <c r="H40" i="34"/>
  <c r="G40" i="34"/>
  <c r="F40" i="34"/>
  <c r="E40" i="34"/>
  <c r="D40" i="34"/>
  <c r="O31" i="34"/>
  <c r="N31" i="34"/>
  <c r="M31" i="34"/>
  <c r="O30" i="34"/>
  <c r="N30" i="34"/>
  <c r="M30" i="34"/>
  <c r="O29" i="34"/>
  <c r="N29" i="34"/>
  <c r="M29" i="34"/>
  <c r="O28" i="34"/>
  <c r="N28" i="34"/>
  <c r="M28" i="34"/>
  <c r="O27" i="34"/>
  <c r="N27" i="34"/>
  <c r="M27" i="34"/>
  <c r="O26" i="34"/>
  <c r="N26" i="34"/>
  <c r="M26" i="34"/>
  <c r="O25" i="34"/>
  <c r="N25" i="34"/>
  <c r="M25" i="34"/>
  <c r="O24" i="34"/>
  <c r="N24" i="34"/>
  <c r="M24" i="34"/>
  <c r="O23" i="34"/>
  <c r="N23" i="34"/>
  <c r="M23" i="34"/>
  <c r="O22" i="34"/>
  <c r="N22" i="34"/>
  <c r="M22" i="34"/>
  <c r="O21" i="34"/>
  <c r="N21" i="34"/>
  <c r="M21" i="34"/>
  <c r="O20" i="34"/>
  <c r="N20" i="34"/>
  <c r="M20" i="34"/>
  <c r="N19" i="34"/>
  <c r="O19" i="34" s="1"/>
  <c r="M19" i="34"/>
  <c r="O18" i="34"/>
  <c r="N18" i="34"/>
  <c r="M18" i="34"/>
  <c r="M17" i="34"/>
  <c r="N17" i="34" s="1"/>
  <c r="O17" i="34" s="1"/>
  <c r="O16" i="34"/>
  <c r="N16" i="34"/>
  <c r="M16" i="34"/>
  <c r="O15" i="34"/>
  <c r="N15" i="34"/>
  <c r="M15" i="34"/>
  <c r="O14" i="34"/>
  <c r="N14" i="34"/>
  <c r="M14" i="34"/>
  <c r="O13" i="34"/>
  <c r="N13" i="34"/>
  <c r="M13" i="34"/>
  <c r="O12" i="34"/>
  <c r="N12" i="34"/>
  <c r="M12" i="34"/>
  <c r="O11" i="34"/>
  <c r="N11" i="34"/>
  <c r="M11" i="34"/>
  <c r="O10" i="34"/>
  <c r="N10" i="34"/>
  <c r="M10" i="34"/>
  <c r="O9" i="34"/>
  <c r="N9" i="34"/>
  <c r="M9" i="34"/>
  <c r="O8" i="34"/>
  <c r="N8" i="34"/>
  <c r="M8" i="34"/>
  <c r="O7" i="34"/>
  <c r="N7" i="34"/>
  <c r="M7" i="34"/>
  <c r="O6" i="34"/>
  <c r="N6" i="34"/>
  <c r="M6" i="34"/>
  <c r="L5" i="34"/>
  <c r="N26" i="45"/>
  <c r="N25" i="45"/>
  <c r="N24" i="45"/>
  <c r="K25" i="45"/>
  <c r="J25" i="45"/>
  <c r="I25" i="45"/>
  <c r="H25" i="45"/>
  <c r="G25" i="45"/>
  <c r="F25" i="45"/>
  <c r="E25" i="45"/>
  <c r="D25" i="45"/>
  <c r="L5" i="45"/>
  <c r="M45" i="31"/>
  <c r="M46" i="31" s="1"/>
  <c r="M44" i="31"/>
  <c r="E45" i="31"/>
  <c r="L55" i="40"/>
  <c r="L58" i="40" s="1"/>
  <c r="K55" i="40"/>
  <c r="K58" i="40" s="1"/>
  <c r="J55" i="40"/>
  <c r="J58" i="40" s="1"/>
  <c r="I55" i="40"/>
  <c r="I58" i="40" s="1"/>
  <c r="D45" i="31"/>
  <c r="C45" i="31"/>
  <c r="N6" i="31"/>
  <c r="K5" i="31"/>
  <c r="M34" i="39"/>
  <c r="M35" i="39" s="1"/>
  <c r="J62" i="40"/>
  <c r="I62" i="40"/>
  <c r="H62" i="40"/>
  <c r="G62" i="40"/>
  <c r="F62" i="40"/>
  <c r="K5" i="39"/>
  <c r="M18" i="36"/>
  <c r="N18" i="36" s="1"/>
  <c r="M17" i="36"/>
  <c r="N17" i="36" s="1"/>
  <c r="M16" i="36"/>
  <c r="N16" i="36" s="1"/>
  <c r="M15" i="36"/>
  <c r="N15" i="36" s="1"/>
  <c r="M14" i="36"/>
  <c r="N14" i="36" s="1"/>
  <c r="M13" i="36"/>
  <c r="N13" i="36" s="1"/>
  <c r="M12" i="36"/>
  <c r="N12" i="36" s="1"/>
  <c r="M11" i="36"/>
  <c r="N11" i="36" s="1"/>
  <c r="M10" i="36"/>
  <c r="N10" i="36" s="1"/>
  <c r="M9" i="36"/>
  <c r="N9" i="36" s="1"/>
  <c r="M8" i="36"/>
  <c r="N8" i="36" s="1"/>
  <c r="M7" i="36"/>
  <c r="N7" i="36" s="1"/>
  <c r="M6" i="36"/>
  <c r="N6" i="36" s="1"/>
  <c r="K5" i="36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J6" i="38"/>
  <c r="K6" i="38" s="1"/>
  <c r="L6" i="38" s="1"/>
  <c r="I5" i="38"/>
  <c r="N7" i="43" l="1"/>
  <c r="O7" i="43" s="1"/>
  <c r="H33" i="39"/>
  <c r="K63" i="40"/>
  <c r="C10" i="40"/>
  <c r="C11" i="40" s="1"/>
  <c r="C17" i="40"/>
  <c r="C18" i="40" s="1"/>
  <c r="C24" i="40"/>
  <c r="C25" i="40" s="1"/>
  <c r="C23" i="40"/>
  <c r="C37" i="40"/>
  <c r="C44" i="40"/>
  <c r="L62" i="40"/>
  <c r="K62" i="40"/>
  <c r="C80" i="40"/>
  <c r="C81" i="40" s="1"/>
  <c r="C79" i="40"/>
  <c r="H45" i="31"/>
  <c r="G45" i="31"/>
  <c r="C66" i="40"/>
  <c r="C67" i="40" s="1"/>
  <c r="C72" i="40"/>
  <c r="C73" i="40"/>
  <c r="C74" i="40" s="1"/>
  <c r="F45" i="31"/>
  <c r="G55" i="40"/>
  <c r="G58" i="40" s="1"/>
  <c r="I45" i="31"/>
  <c r="C59" i="40"/>
  <c r="C60" i="40" s="1"/>
  <c r="C65" i="40"/>
  <c r="C58" i="40"/>
  <c r="D33" i="39" l="1"/>
  <c r="G63" i="40"/>
  <c r="G65" i="40" s="1"/>
  <c r="E33" i="39"/>
  <c r="H63" i="40"/>
  <c r="H65" i="40" s="1"/>
  <c r="I33" i="39"/>
  <c r="L63" i="40"/>
  <c r="L65" i="40" s="1"/>
  <c r="K65" i="40"/>
  <c r="G33" i="39"/>
  <c r="J63" i="40"/>
  <c r="J65" i="40" s="1"/>
  <c r="F33" i="39"/>
  <c r="I63" i="40"/>
  <c r="I65" i="40" s="1"/>
  <c r="C33" i="39"/>
  <c r="F63" i="40"/>
  <c r="F65" i="40" s="1"/>
</calcChain>
</file>

<file path=xl/sharedStrings.xml><?xml version="1.0" encoding="utf-8"?>
<sst xmlns="http://schemas.openxmlformats.org/spreadsheetml/2006/main" count="1128" uniqueCount="348">
  <si>
    <t>General Information - Class Prep</t>
  </si>
  <si>
    <t xml:space="preserve">Consolidated Result Sheet </t>
  </si>
  <si>
    <t>Aggregate</t>
  </si>
  <si>
    <t>Sr #</t>
  </si>
  <si>
    <t>Aghosh ID</t>
  </si>
  <si>
    <t>Name of Student</t>
  </si>
  <si>
    <t>Eng</t>
  </si>
  <si>
    <t>Urdu</t>
  </si>
  <si>
    <t>Maths</t>
  </si>
  <si>
    <t>Islam/GK</t>
  </si>
  <si>
    <t>Total</t>
  </si>
  <si>
    <t>Secured Marks</t>
  </si>
  <si>
    <t>%</t>
  </si>
  <si>
    <t>Remarks</t>
  </si>
  <si>
    <t>AAH- 163</t>
  </si>
  <si>
    <t>Zubair Ahmad</t>
  </si>
  <si>
    <t>AAH- 170</t>
  </si>
  <si>
    <t>Ali Raza</t>
  </si>
  <si>
    <t>AAH- 172</t>
  </si>
  <si>
    <t>Abdul Ahad</t>
  </si>
  <si>
    <t>AAH- 183</t>
  </si>
  <si>
    <t>Syed Hussain Ali</t>
  </si>
  <si>
    <t>AAH- 184</t>
  </si>
  <si>
    <t>Muhammad Mubashir</t>
  </si>
  <si>
    <t>AAH- 194</t>
  </si>
  <si>
    <t>Hyder Ali</t>
  </si>
  <si>
    <t>AAH- 195</t>
  </si>
  <si>
    <t>Ghulam Abbas</t>
  </si>
  <si>
    <t>AAH- 199</t>
  </si>
  <si>
    <t>Shahnawaz Ali</t>
  </si>
  <si>
    <t>AAH- 200</t>
  </si>
  <si>
    <t>Shahbaz Ali</t>
  </si>
  <si>
    <t>AAH- 201</t>
  </si>
  <si>
    <t>Abdul Raheel</t>
  </si>
  <si>
    <t>Sikander</t>
  </si>
  <si>
    <t>Amanullah</t>
  </si>
  <si>
    <t>Iqrar Hussain</t>
  </si>
  <si>
    <t>Abdul Ghani</t>
  </si>
  <si>
    <t>AAH-</t>
  </si>
  <si>
    <t>Muhammad Umar</t>
  </si>
  <si>
    <t xml:space="preserve">
________________________
Principal</t>
  </si>
  <si>
    <t xml:space="preserve">
____________________
Class Teacher </t>
  </si>
  <si>
    <t>Summary Grade Prep</t>
  </si>
  <si>
    <t>No. of Students</t>
  </si>
  <si>
    <t>Appeared</t>
  </si>
  <si>
    <t>Subjects</t>
  </si>
  <si>
    <t>English</t>
  </si>
  <si>
    <t>Pass</t>
  </si>
  <si>
    <t>Pass (&gt;=40%)</t>
  </si>
  <si>
    <t>% Pass</t>
  </si>
  <si>
    <t>Pass%</t>
  </si>
  <si>
    <t>Unsuccessful</t>
  </si>
  <si>
    <t>Fail</t>
  </si>
  <si>
    <t>% Unsuccessful</t>
  </si>
  <si>
    <t>Fail %</t>
  </si>
  <si>
    <t>General Information - Grade I</t>
  </si>
  <si>
    <t>GK</t>
  </si>
  <si>
    <t>Comp</t>
  </si>
  <si>
    <t>Islam</t>
  </si>
  <si>
    <t>Sindhi</t>
  </si>
  <si>
    <t>AAH- 110</t>
  </si>
  <si>
    <t>Muhammad Jaan</t>
  </si>
  <si>
    <t>AAH- 144</t>
  </si>
  <si>
    <t>Ali Muaviya</t>
  </si>
  <si>
    <t>AAH- 165</t>
  </si>
  <si>
    <t>Naveed Ali</t>
  </si>
  <si>
    <t>AAH- 171</t>
  </si>
  <si>
    <t>Abdullah</t>
  </si>
  <si>
    <t>AAH- 177</t>
  </si>
  <si>
    <t>Ali Shan</t>
  </si>
  <si>
    <t>AAH- 179</t>
  </si>
  <si>
    <t>Muhammad Noraiz</t>
  </si>
  <si>
    <t>AAH- 181</t>
  </si>
  <si>
    <t>Mukhtiar</t>
  </si>
  <si>
    <t>Syed Hassan Ali</t>
  </si>
  <si>
    <t>AAH- 185</t>
  </si>
  <si>
    <t>Ghulam Hyder</t>
  </si>
  <si>
    <t>AAH- 186</t>
  </si>
  <si>
    <t>Taimoor Ali</t>
  </si>
  <si>
    <t>AAH- 188</t>
  </si>
  <si>
    <t>Attaullah</t>
  </si>
  <si>
    <t>AAH- 189</t>
  </si>
  <si>
    <t>Ghulam Mustafa</t>
  </si>
  <si>
    <t>AAH- 198</t>
  </si>
  <si>
    <t>Zakir Ali</t>
  </si>
  <si>
    <t>Islamiat</t>
  </si>
  <si>
    <t>Summary Grade I</t>
  </si>
  <si>
    <t>General Information - Grade - II</t>
  </si>
  <si>
    <t>Qadeer Ali</t>
  </si>
  <si>
    <t>Hassnain</t>
  </si>
  <si>
    <t>AAH-83</t>
  </si>
  <si>
    <t>Aqib</t>
  </si>
  <si>
    <t>AAH-92</t>
  </si>
  <si>
    <t>AAH-94</t>
  </si>
  <si>
    <t>AAH-103</t>
  </si>
  <si>
    <t>Sikandar Ali</t>
  </si>
  <si>
    <t>AAH-106</t>
  </si>
  <si>
    <t xml:space="preserve">Mudasir </t>
  </si>
  <si>
    <t>AAH-112</t>
  </si>
  <si>
    <t>Mansoor Ali</t>
  </si>
  <si>
    <t>AAH-122</t>
  </si>
  <si>
    <t>AAH-130</t>
  </si>
  <si>
    <t>Muhammad Ibrahim</t>
  </si>
  <si>
    <t>AAH-132</t>
  </si>
  <si>
    <t>AAH-137</t>
  </si>
  <si>
    <t>Wanhyal</t>
  </si>
  <si>
    <t>AAH-139</t>
  </si>
  <si>
    <t>Muhammad Awais</t>
  </si>
  <si>
    <t>AAH-174</t>
  </si>
  <si>
    <t>Abdul Sattar</t>
  </si>
  <si>
    <t>AAH-187</t>
  </si>
  <si>
    <t>AAH-193</t>
  </si>
  <si>
    <t xml:space="preserve">Deedar </t>
  </si>
  <si>
    <t xml:space="preserve">
_________________
Class Teacher </t>
  </si>
  <si>
    <t>Summary Grade II</t>
  </si>
  <si>
    <t>General Information - Grade III</t>
  </si>
  <si>
    <t>Muhammad Uzair</t>
  </si>
  <si>
    <t>Rehman Ali</t>
  </si>
  <si>
    <t>AAH-99</t>
  </si>
  <si>
    <t xml:space="preserve">Muzammil </t>
  </si>
  <si>
    <t>AAH-100</t>
  </si>
  <si>
    <t>Muhammad Irfan</t>
  </si>
  <si>
    <t>AAH-101</t>
  </si>
  <si>
    <t>Muhammad Ahsan</t>
  </si>
  <si>
    <t>AAH-104</t>
  </si>
  <si>
    <t>Abdul Wadood</t>
  </si>
  <si>
    <t>AAH-105</t>
  </si>
  <si>
    <t xml:space="preserve">Nadeem </t>
  </si>
  <si>
    <t>AAH-115</t>
  </si>
  <si>
    <t>Hamad Ullah</t>
  </si>
  <si>
    <t>AAH-117</t>
  </si>
  <si>
    <t xml:space="preserve">Mubashir Ahmed </t>
  </si>
  <si>
    <t>AAH-119</t>
  </si>
  <si>
    <t>Ali  Bux</t>
  </si>
  <si>
    <t>AAH-120</t>
  </si>
  <si>
    <t>Sumair Ali</t>
  </si>
  <si>
    <t>AAH-123</t>
  </si>
  <si>
    <t>Abdul Samad</t>
  </si>
  <si>
    <t>AAH-129</t>
  </si>
  <si>
    <t xml:space="preserve">Tariq Shahzad </t>
  </si>
  <si>
    <t>AAH-131</t>
  </si>
  <si>
    <t>Tariq Khan</t>
  </si>
  <si>
    <t>AAH-134</t>
  </si>
  <si>
    <t>AAH-133</t>
  </si>
  <si>
    <t>Ahmed Ali</t>
  </si>
  <si>
    <t>AAH-140</t>
  </si>
  <si>
    <t>AAH-143</t>
  </si>
  <si>
    <t>AAH-145</t>
  </si>
  <si>
    <t>Imam Uddin</t>
  </si>
  <si>
    <t>AAH-153</t>
  </si>
  <si>
    <t xml:space="preserve">Saadullah </t>
  </si>
  <si>
    <t>AAH-160</t>
  </si>
  <si>
    <t>Saddam Hussain</t>
  </si>
  <si>
    <t>AAH-166</t>
  </si>
  <si>
    <t>Abdul Mannan</t>
  </si>
  <si>
    <t>AAH-167</t>
  </si>
  <si>
    <t>Abdul Wajid</t>
  </si>
  <si>
    <t>AAH-168</t>
  </si>
  <si>
    <t>Gul Jan</t>
  </si>
  <si>
    <t>AAH-175</t>
  </si>
  <si>
    <t>Faheem Ghani</t>
  </si>
  <si>
    <t>AAH-196</t>
  </si>
  <si>
    <t>Ghayoor Abbas</t>
  </si>
  <si>
    <t>Ayan Ali</t>
  </si>
  <si>
    <t xml:space="preserve">
__________________
Class Teacher </t>
  </si>
  <si>
    <t>Summary Grade III</t>
  </si>
  <si>
    <t>Science</t>
  </si>
  <si>
    <t>S.S</t>
  </si>
  <si>
    <t>AAH-075</t>
  </si>
  <si>
    <t>Arman</t>
  </si>
  <si>
    <t>AAH-078</t>
  </si>
  <si>
    <t>AAH-079</t>
  </si>
  <si>
    <t>Kashan</t>
  </si>
  <si>
    <t>AAH-085</t>
  </si>
  <si>
    <t>Ehsan</t>
  </si>
  <si>
    <t>AAH-090</t>
  </si>
  <si>
    <t>Waqas Mashooq</t>
  </si>
  <si>
    <t>AAH-096</t>
  </si>
  <si>
    <t>Maawiya Mehmood</t>
  </si>
  <si>
    <t>AAH-097</t>
  </si>
  <si>
    <t>Fayyaz Ahmed</t>
  </si>
  <si>
    <t>AAH-107</t>
  </si>
  <si>
    <t>Rehan</t>
  </si>
  <si>
    <t>AAH-118</t>
  </si>
  <si>
    <t>Ali Hyder</t>
  </si>
  <si>
    <t>AAH-124</t>
  </si>
  <si>
    <t>Farhad Ali</t>
  </si>
  <si>
    <t>AAH-125</t>
  </si>
  <si>
    <t>Muhammad Sufyan</t>
  </si>
  <si>
    <t>AAH-149</t>
  </si>
  <si>
    <t>Idress</t>
  </si>
  <si>
    <t>AAH-150</t>
  </si>
  <si>
    <t>AAH-164</t>
  </si>
  <si>
    <t>Fahad Hussain</t>
  </si>
  <si>
    <t>AAH-173</t>
  </si>
  <si>
    <t>Muhammad Shayan</t>
  </si>
  <si>
    <t>AAH-180</t>
  </si>
  <si>
    <t>Moviz</t>
  </si>
  <si>
    <t>AAH-202</t>
  </si>
  <si>
    <t>SS</t>
  </si>
  <si>
    <t>General Information - Grade VI</t>
  </si>
  <si>
    <t>AAH- 86</t>
  </si>
  <si>
    <t>Asghar Ali</t>
  </si>
  <si>
    <t>AAH- 98</t>
  </si>
  <si>
    <t>AAH- 108</t>
  </si>
  <si>
    <t>Muhammad Yasir</t>
  </si>
  <si>
    <t>AAH- 151</t>
  </si>
  <si>
    <t>Hussain</t>
  </si>
  <si>
    <t>AAH- 155</t>
  </si>
  <si>
    <t>Muzammil</t>
  </si>
  <si>
    <t>AAH- 157</t>
  </si>
  <si>
    <t>Abdul Ghafoor</t>
  </si>
  <si>
    <t>AAH- 159</t>
  </si>
  <si>
    <t>Adab Hussain</t>
  </si>
  <si>
    <t>AAH- 80</t>
  </si>
  <si>
    <t>Farhan Ali</t>
  </si>
  <si>
    <t>AAH- 154</t>
  </si>
  <si>
    <t>Jawad Ahmed</t>
  </si>
  <si>
    <t>Summary Grade VI</t>
  </si>
  <si>
    <t>General Information - Grade VII</t>
  </si>
  <si>
    <t>Arslan Ali</t>
  </si>
  <si>
    <t>AAH-041</t>
  </si>
  <si>
    <t>Noman Ali</t>
  </si>
  <si>
    <t>Abdul Qadeer</t>
  </si>
  <si>
    <t>Ahmed</t>
  </si>
  <si>
    <t>AAH- 73</t>
  </si>
  <si>
    <t xml:space="preserve">Farhan </t>
  </si>
  <si>
    <t>Summary Grad VII</t>
  </si>
  <si>
    <t>General Information - Grade VIII</t>
  </si>
  <si>
    <t>AAH-001</t>
  </si>
  <si>
    <t>Shan Ali</t>
  </si>
  <si>
    <t>AAH-006</t>
  </si>
  <si>
    <t>Faizan Ali</t>
  </si>
  <si>
    <t>AAH-008</t>
  </si>
  <si>
    <t>AAH-013</t>
  </si>
  <si>
    <t>Muhammad Bilal</t>
  </si>
  <si>
    <t>AAH-018</t>
  </si>
  <si>
    <t>Asad</t>
  </si>
  <si>
    <t>AAH-025</t>
  </si>
  <si>
    <t>Ayaz Ali</t>
  </si>
  <si>
    <t>AAH-026</t>
  </si>
  <si>
    <t>Mujeeb ul Rehman</t>
  </si>
  <si>
    <t>AAH-027</t>
  </si>
  <si>
    <t>Sher Ali</t>
  </si>
  <si>
    <t>AAH-033</t>
  </si>
  <si>
    <t>Mushtaque Ali</t>
  </si>
  <si>
    <t>AAH-034</t>
  </si>
  <si>
    <t>Asad Ali</t>
  </si>
  <si>
    <t>AAH-046</t>
  </si>
  <si>
    <t>Hasnain Ali</t>
  </si>
  <si>
    <t>AAH-054</t>
  </si>
  <si>
    <t>Muhammad Mohsin</t>
  </si>
  <si>
    <t>AAH-056</t>
  </si>
  <si>
    <t>Javed Ali</t>
  </si>
  <si>
    <t>AAH-069</t>
  </si>
  <si>
    <t>AAH-070</t>
  </si>
  <si>
    <t>Aasim</t>
  </si>
  <si>
    <t>AAH-147</t>
  </si>
  <si>
    <t>Balach Khan</t>
  </si>
  <si>
    <t>AAH-156</t>
  </si>
  <si>
    <t>Ijaz Ahmed</t>
  </si>
  <si>
    <t>Summary Grade VIII</t>
  </si>
  <si>
    <t xml:space="preserve">Pass% </t>
  </si>
  <si>
    <t>General Information - Grade IX</t>
  </si>
  <si>
    <t>Bio</t>
  </si>
  <si>
    <t>Phy</t>
  </si>
  <si>
    <t>Che</t>
  </si>
  <si>
    <t>AAH-002</t>
  </si>
  <si>
    <t xml:space="preserve">Abid Khan </t>
  </si>
  <si>
    <t>AAH-011</t>
  </si>
  <si>
    <t>Muhammad Khizer</t>
  </si>
  <si>
    <t>AAH-022</t>
  </si>
  <si>
    <t>Abid Ali</t>
  </si>
  <si>
    <t>AAH-030</t>
  </si>
  <si>
    <t>Mohsin Ali</t>
  </si>
  <si>
    <t>AAH-037</t>
  </si>
  <si>
    <t>Muhammad Afzal</t>
  </si>
  <si>
    <t>AAH-051</t>
  </si>
  <si>
    <t>Muhammad Aslam</t>
  </si>
  <si>
    <t>AAH-065</t>
  </si>
  <si>
    <t>Nisar Ahmed</t>
  </si>
  <si>
    <t>AAH-074</t>
  </si>
  <si>
    <t>Mohammad Arif</t>
  </si>
  <si>
    <t>AAH-148</t>
  </si>
  <si>
    <t>Israr Ahmed</t>
  </si>
  <si>
    <t>Summary Grade IX</t>
  </si>
  <si>
    <t>General Information - Grade X</t>
  </si>
  <si>
    <t>P.S</t>
  </si>
  <si>
    <t>AAH-060</t>
  </si>
  <si>
    <t>Sekander Bux</t>
  </si>
  <si>
    <t>AAH-152</t>
  </si>
  <si>
    <t>AAH-158</t>
  </si>
  <si>
    <t>Abdul Salam</t>
  </si>
  <si>
    <t>Summary Grade X</t>
  </si>
  <si>
    <t>Classwise Summary</t>
  </si>
  <si>
    <t>Summary Grade VII</t>
  </si>
  <si>
    <t>Mid Term Examination 2025-26</t>
  </si>
  <si>
    <t>AAH-142</t>
  </si>
  <si>
    <t>Farooque Ahmed</t>
  </si>
  <si>
    <t>AAH-141</t>
  </si>
  <si>
    <t>AAH-162</t>
  </si>
  <si>
    <t>Abdul Hafeez</t>
  </si>
  <si>
    <t>Musab Ahmed</t>
  </si>
  <si>
    <t>Muhammad Asim</t>
  </si>
  <si>
    <t>AAH-076</t>
  </si>
  <si>
    <t>AAH- 204</t>
  </si>
  <si>
    <t>AAH- 205</t>
  </si>
  <si>
    <t>AAH- 206</t>
  </si>
  <si>
    <t>AAH- 207</t>
  </si>
  <si>
    <t>Art</t>
  </si>
  <si>
    <t xml:space="preserve">
________________________
Principal</t>
  </si>
  <si>
    <t xml:space="preserve">
____________________
Class Teacher </t>
  </si>
  <si>
    <t>General Information - Grade V</t>
  </si>
  <si>
    <t>V</t>
  </si>
  <si>
    <t>A</t>
  </si>
  <si>
    <t>B</t>
  </si>
  <si>
    <t>C</t>
  </si>
  <si>
    <t>Grades</t>
  </si>
  <si>
    <t>E</t>
  </si>
  <si>
    <t>D</t>
  </si>
  <si>
    <t>Absent</t>
  </si>
  <si>
    <t>Summary Grade V</t>
  </si>
  <si>
    <t>Alkhidmat School, Mannan &amp; Qazi Campus, Hala</t>
  </si>
  <si>
    <t>Abdul Qalam</t>
  </si>
  <si>
    <t xml:space="preserve">Hasnain Ali </t>
  </si>
  <si>
    <t>Safi Ullah</t>
  </si>
  <si>
    <t>Saqlain Hader</t>
  </si>
  <si>
    <t>AAH-077</t>
  </si>
  <si>
    <t>AAH-081</t>
  </si>
  <si>
    <t>AAH-182</t>
  </si>
  <si>
    <t>AAH-031</t>
  </si>
  <si>
    <t>AAH-088</t>
  </si>
  <si>
    <t>AAH-059</t>
  </si>
  <si>
    <t>AAH-068</t>
  </si>
  <si>
    <t>AAH-093</t>
  </si>
  <si>
    <t xml:space="preserve">Faraz Ahmad </t>
  </si>
  <si>
    <t>Naeem ul rehman</t>
  </si>
  <si>
    <t>Ahmad Raza</t>
  </si>
  <si>
    <t>Summary Grade IV</t>
  </si>
  <si>
    <t>General Information - Grade IV</t>
  </si>
  <si>
    <t>AAH- 215</t>
  </si>
  <si>
    <t>Shahid Ali</t>
  </si>
  <si>
    <t>Shayan</t>
  </si>
  <si>
    <t>AAH- 220</t>
  </si>
  <si>
    <t>Ali</t>
  </si>
  <si>
    <t>AAH- 221</t>
  </si>
  <si>
    <t>AAH- 222</t>
  </si>
  <si>
    <t>Ali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</si>
</sst>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3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MV Boli"/>
    </font>
    <font>
      <b/>
      <sz val="12"/>
      <name val="Calibri"/>
      <family val="2"/>
      <scheme val="minor"/>
    </font>
    <font>
      <b/>
      <sz val="11"/>
      <color rgb="FF000000"/>
      <name val="MV Boli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08">
    <xf numFmtId="0" fontId="0" fillId="0" borderId="0" xfId="0"/>
    <xf numFmtId="0" fontId="0" fillId="0" borderId="7" xfId="0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3" borderId="18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right" vertical="center"/>
    </xf>
    <xf numFmtId="9" fontId="5" fillId="0" borderId="23" xfId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23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4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3" borderId="32" xfId="0" applyFont="1" applyFill="1" applyBorder="1" applyAlignment="1">
      <alignment horizontal="right" vertical="center"/>
    </xf>
    <xf numFmtId="0" fontId="0" fillId="0" borderId="33" xfId="0" applyBorder="1"/>
    <xf numFmtId="0" fontId="7" fillId="0" borderId="27" xfId="0" applyFont="1" applyBorder="1"/>
    <xf numFmtId="0" fontId="9" fillId="0" borderId="33" xfId="0" applyFont="1" applyBorder="1" applyAlignment="1">
      <alignment vertical="center"/>
    </xf>
    <xf numFmtId="0" fontId="0" fillId="0" borderId="34" xfId="0" applyBorder="1"/>
    <xf numFmtId="0" fontId="0" fillId="0" borderId="3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" fontId="13" fillId="0" borderId="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9" fillId="3" borderId="22" xfId="0" applyFont="1" applyFill="1" applyBorder="1" applyAlignment="1">
      <alignment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left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1" fontId="16" fillId="0" borderId="4" xfId="0" applyNumberFormat="1" applyFont="1" applyBorder="1" applyAlignment="1">
      <alignment horizontal="center"/>
    </xf>
    <xf numFmtId="1" fontId="16" fillId="0" borderId="20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164" fontId="20" fillId="0" borderId="1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4" xfId="9" applyFont="1" applyBorder="1" applyAlignment="1">
      <alignment horizontal="center" vertical="center"/>
    </xf>
    <xf numFmtId="0" fontId="23" fillId="0" borderId="4" xfId="9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64" fontId="2" fillId="0" borderId="30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3" fillId="0" borderId="20" xfId="0" applyFont="1" applyBorder="1"/>
    <xf numFmtId="1" fontId="13" fillId="0" borderId="20" xfId="0" applyNumberFormat="1" applyFont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0" fontId="23" fillId="0" borderId="4" xfId="14" applyFont="1" applyBorder="1" applyAlignment="1">
      <alignment horizontal="left" vertical="center"/>
    </xf>
    <xf numFmtId="0" fontId="23" fillId="0" borderId="4" xfId="14" applyFont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4" fontId="14" fillId="0" borderId="17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wrapText="1"/>
    </xf>
    <xf numFmtId="0" fontId="23" fillId="0" borderId="20" xfId="9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165" fontId="13" fillId="0" borderId="20" xfId="1" applyNumberFormat="1" applyFont="1" applyBorder="1" applyAlignment="1">
      <alignment horizontal="center" vertical="center"/>
    </xf>
    <xf numFmtId="0" fontId="23" fillId="5" borderId="20" xfId="0" applyFont="1" applyFill="1" applyBorder="1" applyAlignment="1" applyProtection="1">
      <alignment horizontal="center" vertical="center"/>
      <protection locked="0"/>
    </xf>
    <xf numFmtId="0" fontId="23" fillId="5" borderId="4" xfId="0" applyFont="1" applyFill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>
      <alignment horizontal="center" vertical="center"/>
    </xf>
    <xf numFmtId="165" fontId="16" fillId="0" borderId="20" xfId="1" applyNumberFormat="1" applyFont="1" applyBorder="1" applyAlignment="1">
      <alignment horizontal="center" vertical="center"/>
    </xf>
    <xf numFmtId="165" fontId="13" fillId="0" borderId="4" xfId="1" applyNumberFormat="1" applyFont="1" applyBorder="1" applyAlignment="1" applyProtection="1">
      <alignment horizontal="center" vertical="center"/>
    </xf>
    <xf numFmtId="165" fontId="13" fillId="0" borderId="20" xfId="1" applyNumberFormat="1" applyFont="1" applyBorder="1" applyAlignment="1" applyProtection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/>
    <xf numFmtId="0" fontId="26" fillId="0" borderId="20" xfId="0" applyFont="1" applyBorder="1" applyAlignment="1">
      <alignment vertical="center"/>
    </xf>
    <xf numFmtId="164" fontId="15" fillId="0" borderId="17" xfId="0" applyNumberFormat="1" applyFont="1" applyBorder="1" applyAlignment="1">
      <alignment horizontal="center" vertical="center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23" fillId="0" borderId="4" xfId="14" applyFont="1" applyBorder="1" applyAlignment="1">
      <alignment vertical="center"/>
    </xf>
    <xf numFmtId="0" fontId="23" fillId="0" borderId="4" xfId="14" applyFont="1" applyBorder="1"/>
    <xf numFmtId="0" fontId="23" fillId="0" borderId="4" xfId="9" applyFont="1" applyBorder="1" applyAlignment="1">
      <alignment vertical="center"/>
    </xf>
    <xf numFmtId="0" fontId="23" fillId="0" borderId="20" xfId="14" applyFont="1" applyBorder="1" applyAlignment="1">
      <alignment vertical="center"/>
    </xf>
    <xf numFmtId="164" fontId="2" fillId="0" borderId="25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>
      <alignment horizontal="left"/>
    </xf>
    <xf numFmtId="0" fontId="13" fillId="0" borderId="4" xfId="2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2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7" fontId="2" fillId="0" borderId="2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2" fillId="0" borderId="12" xfId="0" applyFont="1" applyBorder="1" applyAlignment="1">
      <alignment horizontal="center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" fontId="20" fillId="0" borderId="11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164" fontId="15" fillId="0" borderId="17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34">
    <cellStyle name="Normal" xfId="0" builtinId="0"/>
    <cellStyle name="Normal 2" xfId="2" xr:uid="{00000000-0005-0000-0000-000031000000}"/>
    <cellStyle name="Normal 2 2" xfId="3" xr:uid="{00000000-0005-0000-0000-000032000000}"/>
    <cellStyle name="Normal 2 2 2" xfId="4" xr:uid="{00000000-0005-0000-0000-000033000000}"/>
    <cellStyle name="Normal 2 2 2 2" xfId="5" xr:uid="{00000000-0005-0000-0000-000034000000}"/>
    <cellStyle name="Normal 2 2 3" xfId="6" xr:uid="{00000000-0005-0000-0000-000035000000}"/>
    <cellStyle name="Normal 2 2 3 2" xfId="7" xr:uid="{00000000-0005-0000-0000-000036000000}"/>
    <cellStyle name="Normal 2 2 3 2 2" xfId="8" xr:uid="{00000000-0005-0000-0000-000037000000}"/>
    <cellStyle name="Normal 2 2 3 2 3" xfId="9" xr:uid="{00000000-0005-0000-0000-000038000000}"/>
    <cellStyle name="Normal 2 2 4" xfId="10" xr:uid="{00000000-0005-0000-0000-000039000000}"/>
    <cellStyle name="Normal 2 2 5" xfId="11" xr:uid="{00000000-0005-0000-0000-00003A000000}"/>
    <cellStyle name="Normal 2 3" xfId="12" xr:uid="{00000000-0005-0000-0000-00003B000000}"/>
    <cellStyle name="Normal 2 3 2" xfId="13" xr:uid="{00000000-0005-0000-0000-00003C000000}"/>
    <cellStyle name="Normal 2 4" xfId="14" xr:uid="{00000000-0005-0000-0000-00003D000000}"/>
    <cellStyle name="Normal 2 4 2" xfId="15" xr:uid="{00000000-0005-0000-0000-00003E000000}"/>
    <cellStyle name="Normal 2 4 3" xfId="16" xr:uid="{00000000-0005-0000-0000-00003F000000}"/>
    <cellStyle name="Normal 2 5" xfId="17" xr:uid="{00000000-0005-0000-0000-000040000000}"/>
    <cellStyle name="Normal 3" xfId="18" xr:uid="{00000000-0005-0000-0000-000041000000}"/>
    <cellStyle name="Normal 3 2" xfId="19" xr:uid="{00000000-0005-0000-0000-000042000000}"/>
    <cellStyle name="Normal 3 3" xfId="20" xr:uid="{00000000-0005-0000-0000-000043000000}"/>
    <cellStyle name="Normal 4" xfId="21" xr:uid="{00000000-0005-0000-0000-000044000000}"/>
    <cellStyle name="Normal 4 2" xfId="22" xr:uid="{00000000-0005-0000-0000-000045000000}"/>
    <cellStyle name="Normal 4 3" xfId="23" xr:uid="{00000000-0005-0000-0000-000046000000}"/>
    <cellStyle name="Normal 5" xfId="24" xr:uid="{00000000-0005-0000-0000-000047000000}"/>
    <cellStyle name="Normal 5 2" xfId="25" xr:uid="{00000000-0005-0000-0000-000048000000}"/>
    <cellStyle name="Normal 6" xfId="26" xr:uid="{00000000-0005-0000-0000-000049000000}"/>
    <cellStyle name="Normal 6 2" xfId="27" xr:uid="{00000000-0005-0000-0000-00004A000000}"/>
    <cellStyle name="Normal 6 2 2" xfId="28" xr:uid="{00000000-0005-0000-0000-00004B000000}"/>
    <cellStyle name="Normal 7" xfId="29" xr:uid="{00000000-0005-0000-0000-00004C000000}"/>
    <cellStyle name="Normal 8" xfId="30" xr:uid="{00000000-0005-0000-0000-00004D000000}"/>
    <cellStyle name="Percent" xfId="1" builtinId="5"/>
    <cellStyle name="Percent 2" xfId="31" xr:uid="{00000000-0005-0000-0000-00004E000000}"/>
    <cellStyle name="Percent 2 2" xfId="32" xr:uid="{00000000-0005-0000-0000-00004F000000}"/>
    <cellStyle name="Percent 2 3" xfId="33" xr:uid="{00000000-0005-0000-0000-000050000000}"/>
  </cellStyles>
  <dxfs count="1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60960</xdr:rowOff>
    </xdr:from>
    <xdr:to>
      <xdr:col>11</xdr:col>
      <xdr:colOff>1463040</xdr:colOff>
      <xdr:row>1</xdr:row>
      <xdr:rowOff>281940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B9D5E10-E3C1-4E69-A388-DDED329A5E79}"/>
            </a:ext>
          </a:extLst>
        </xdr:cNvPr>
        <xdr:cNvGrpSpPr/>
      </xdr:nvGrpSpPr>
      <xdr:grpSpPr>
        <a:xfrm>
          <a:off x="68580" y="60960"/>
          <a:ext cx="11224260" cy="612866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71BEADD-8334-4615-9966-BFF1922D7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67AC663-BC61-4BA4-A2E6-A4AF0C53F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239485</xdr:colOff>
      <xdr:row>0</xdr:row>
      <xdr:rowOff>54429</xdr:rowOff>
    </xdr:from>
    <xdr:to>
      <xdr:col>13</xdr:col>
      <xdr:colOff>1223043</xdr:colOff>
      <xdr:row>1</xdr:row>
      <xdr:rowOff>283029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9D8C05B-717F-44BE-897A-F7553329AF98}"/>
            </a:ext>
          </a:extLst>
        </xdr:cNvPr>
        <xdr:cNvGrpSpPr/>
      </xdr:nvGrpSpPr>
      <xdr:grpSpPr>
        <a:xfrm>
          <a:off x="239485" y="54429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243269B-75BC-4A50-87DD-1B86FA681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606A9D5-4A29-40EC-9A2B-DFE43A306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54428</xdr:rowOff>
    </xdr:from>
    <xdr:to>
      <xdr:col>13</xdr:col>
      <xdr:colOff>1255700</xdr:colOff>
      <xdr:row>1</xdr:row>
      <xdr:rowOff>293914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5437479-9F04-4193-B2BC-D71DFAA3EB58}"/>
            </a:ext>
          </a:extLst>
        </xdr:cNvPr>
        <xdr:cNvGrpSpPr/>
      </xdr:nvGrpSpPr>
      <xdr:grpSpPr>
        <a:xfrm>
          <a:off x="130628" y="54428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3A1B3-7758-49B0-B01C-C520387A6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845EDBF-FCA0-4158-A731-149E0BACE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32657</xdr:rowOff>
    </xdr:from>
    <xdr:to>
      <xdr:col>13</xdr:col>
      <xdr:colOff>1288357</xdr:colOff>
      <xdr:row>2</xdr:row>
      <xdr:rowOff>32657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A4E171D-51CC-40D5-8469-B2C5EC0AE327}"/>
            </a:ext>
          </a:extLst>
        </xdr:cNvPr>
        <xdr:cNvGrpSpPr/>
      </xdr:nvGrpSpPr>
      <xdr:grpSpPr>
        <a:xfrm>
          <a:off x="130628" y="32657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E7661A1-3119-428F-99F6-0EC0517B69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BCCE52F-E4FF-44CE-A4E9-16A36FF42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C8A4143-AA79-431E-A876-7AB61B9A525A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3314964-6671-489B-9278-35CB653CE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220989F-0748-4B09-A438-E34CDCD79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7B08C79-C334-444D-AEED-31784AEF4A32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B6C9F00-EF8E-40CF-BA03-29BEF24D9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961AD8A-E688-4041-8470-F80EF5DF99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170330</xdr:colOff>
      <xdr:row>0</xdr:row>
      <xdr:rowOff>0</xdr:rowOff>
    </xdr:from>
    <xdr:to>
      <xdr:col>14</xdr:col>
      <xdr:colOff>878543</xdr:colOff>
      <xdr:row>1</xdr:row>
      <xdr:rowOff>313765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7E0C40-5EF9-4D92-A32B-131284588710}"/>
            </a:ext>
          </a:extLst>
        </xdr:cNvPr>
        <xdr:cNvGrpSpPr/>
      </xdr:nvGrpSpPr>
      <xdr:grpSpPr>
        <a:xfrm>
          <a:off x="170330" y="0"/>
          <a:ext cx="11869272" cy="609600"/>
          <a:chOff x="99952" y="38399"/>
          <a:chExt cx="12281681" cy="590412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77A1235-0719-47E5-9C1A-3D3230DB4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38ABB3C-8EEB-4556-9312-AC073E13B9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224119</xdr:colOff>
      <xdr:row>0</xdr:row>
      <xdr:rowOff>26895</xdr:rowOff>
    </xdr:from>
    <xdr:to>
      <xdr:col>14</xdr:col>
      <xdr:colOff>717179</xdr:colOff>
      <xdr:row>1</xdr:row>
      <xdr:rowOff>340660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41C889-2888-48FA-9D5D-B8C9378A3368}"/>
            </a:ext>
          </a:extLst>
        </xdr:cNvPr>
        <xdr:cNvGrpSpPr/>
      </xdr:nvGrpSpPr>
      <xdr:grpSpPr>
        <a:xfrm>
          <a:off x="224119" y="26895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0280F30-6CA0-4EEA-A23C-E0C72D5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34DEA19-7EF4-4CD8-B8D7-EE6F9A5A6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99953</xdr:colOff>
      <xdr:row>0</xdr:row>
      <xdr:rowOff>38399</xdr:rowOff>
    </xdr:from>
    <xdr:to>
      <xdr:col>14</xdr:col>
      <xdr:colOff>1000011</xdr:colOff>
      <xdr:row>1</xdr:row>
      <xdr:rowOff>308771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A9FA684-E236-4B70-B034-BFF4C3E24849}"/>
            </a:ext>
          </a:extLst>
        </xdr:cNvPr>
        <xdr:cNvGrpSpPr/>
      </xdr:nvGrpSpPr>
      <xdr:grpSpPr>
        <a:xfrm>
          <a:off x="99953" y="38399"/>
          <a:ext cx="12068801" cy="586058"/>
          <a:chOff x="99953" y="38399"/>
          <a:chExt cx="12040498" cy="59041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A3E4CDC-5A72-4845-BD4E-1772AA1BC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707768" cy="59041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80683</xdr:colOff>
      <xdr:row>0</xdr:row>
      <xdr:rowOff>26895</xdr:rowOff>
    </xdr:from>
    <xdr:to>
      <xdr:col>14</xdr:col>
      <xdr:colOff>1013014</xdr:colOff>
      <xdr:row>1</xdr:row>
      <xdr:rowOff>242049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871E044-8107-4384-A427-6AA9DD3C82CC}"/>
            </a:ext>
          </a:extLst>
        </xdr:cNvPr>
        <xdr:cNvGrpSpPr/>
      </xdr:nvGrpSpPr>
      <xdr:grpSpPr>
        <a:xfrm>
          <a:off x="80683" y="26895"/>
          <a:ext cx="11869272" cy="6275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911406C-D97A-497D-9080-BAC055F46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569CE1-B11C-4EBC-8307-998524FFB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71716</xdr:colOff>
      <xdr:row>0</xdr:row>
      <xdr:rowOff>44824</xdr:rowOff>
    </xdr:from>
    <xdr:to>
      <xdr:col>14</xdr:col>
      <xdr:colOff>1183341</xdr:colOff>
      <xdr:row>1</xdr:row>
      <xdr:rowOff>259977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C516315-A874-43F6-9A9B-BAFDEF62D15A}"/>
            </a:ext>
          </a:extLst>
        </xdr:cNvPr>
        <xdr:cNvGrpSpPr/>
      </xdr:nvGrpSpPr>
      <xdr:grpSpPr>
        <a:xfrm>
          <a:off x="71716" y="44824"/>
          <a:ext cx="12008225" cy="723153"/>
          <a:chOff x="99952" y="38399"/>
          <a:chExt cx="12040499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674C87E-B888-4911-AFC4-4212D6019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5080460-3F9C-48A2-BF16-6D4721AD53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152400</xdr:rowOff>
    </xdr:from>
    <xdr:to>
      <xdr:col>14</xdr:col>
      <xdr:colOff>391886</xdr:colOff>
      <xdr:row>2</xdr:row>
      <xdr:rowOff>111441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0E9BC88-B81C-474D-A276-AC77DBD53D18}"/>
            </a:ext>
          </a:extLst>
        </xdr:cNvPr>
        <xdr:cNvGrpSpPr/>
      </xdr:nvGrpSpPr>
      <xdr:grpSpPr>
        <a:xfrm>
          <a:off x="130628" y="152400"/>
          <a:ext cx="9719023" cy="577606"/>
          <a:chOff x="99953" y="38399"/>
          <a:chExt cx="12040498" cy="59041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3327178-F92D-4315-98D4-7C8A1DCE1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6E9887-ADBB-41A3-B038-9D0D899DF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937526" cy="59041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view="pageBreakPreview" zoomScale="70" zoomScaleNormal="70" zoomScaleSheetLayoutView="70" workbookViewId="0">
      <selection activeCell="C11" sqref="C11"/>
    </sheetView>
  </sheetViews>
  <sheetFormatPr defaultColWidth="9" defaultRowHeight="14.4"/>
  <cols>
    <col min="1" max="1" width="9" style="60"/>
    <col min="2" max="2" width="11.5546875" style="60" customWidth="1"/>
    <col min="3" max="3" width="25.44140625" style="60" customWidth="1"/>
    <col min="4" max="6" width="9" style="60"/>
    <col min="7" max="7" width="12.6640625" style="60" customWidth="1"/>
    <col min="8" max="8" width="13.6640625" style="60" customWidth="1"/>
    <col min="9" max="9" width="11.44140625" style="60" customWidth="1"/>
    <col min="10" max="10" width="13.33203125" style="60" customWidth="1"/>
    <col min="11" max="11" width="19" style="60" customWidth="1"/>
    <col min="12" max="12" width="22.6640625" style="60" customWidth="1"/>
    <col min="13" max="13" width="6.6640625" style="60" customWidth="1"/>
    <col min="14" max="14" width="13" style="60" customWidth="1"/>
    <col min="15" max="16384" width="9" style="60"/>
  </cols>
  <sheetData>
    <row r="1" spans="1:12" ht="30.6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1:12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7"/>
    </row>
    <row r="3" spans="1:12" ht="16.2" thickBot="1">
      <c r="A3" s="168" t="s">
        <v>0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2"/>
    </row>
    <row r="4" spans="1:12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8</v>
      </c>
      <c r="G4" s="74" t="s">
        <v>9</v>
      </c>
      <c r="H4" s="79" t="s">
        <v>309</v>
      </c>
      <c r="I4" s="79" t="s">
        <v>10</v>
      </c>
      <c r="J4" s="153" t="s">
        <v>11</v>
      </c>
      <c r="K4" s="155" t="s">
        <v>12</v>
      </c>
      <c r="L4" s="157" t="s">
        <v>13</v>
      </c>
    </row>
    <row r="5" spans="1:12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5">
        <f>SUM(D5:H5)</f>
        <v>500</v>
      </c>
      <c r="J5" s="154"/>
      <c r="K5" s="156"/>
      <c r="L5" s="158"/>
    </row>
    <row r="6" spans="1:12" ht="15.6">
      <c r="A6" s="70">
        <v>1</v>
      </c>
      <c r="B6" s="71" t="s">
        <v>345</v>
      </c>
      <c r="C6" s="71" t="s">
        <v>344</v>
      </c>
      <c r="D6" s="129">
        <v>88</v>
      </c>
      <c r="E6" s="129">
        <v>94</v>
      </c>
      <c r="F6" s="129">
        <v>88</v>
      </c>
      <c r="G6" s="129">
        <v>84</v>
      </c>
      <c r="H6" s="61">
        <v>87</v>
      </c>
      <c r="I6" s="75">
        <v>500</v>
      </c>
      <c r="J6" s="54">
        <f>SUM(D6:H6)</f>
        <v>441</v>
      </c>
      <c r="K6" s="122">
        <f>J6/I5</f>
        <v>0.88200000000000001</v>
      </c>
      <c r="L6" s="103" t="str">
        <f>IF(K6&gt;=85%,"Outstanding",IF(K6&gt;=80%,"Excellent",IF(K6&gt;=70%,"Very Good",IF(K6&gt;=60%,"Good",IF(K6&gt;=50%,"Satisfactory",IF(K6&gt;=40%,"Fair","Needs Attention"))))))</f>
        <v>Outstanding</v>
      </c>
    </row>
    <row r="7" spans="1:12" ht="15.6">
      <c r="A7" s="70">
        <v>2</v>
      </c>
      <c r="B7" s="71" t="s">
        <v>346</v>
      </c>
      <c r="C7" s="71" t="s">
        <v>347</v>
      </c>
      <c r="D7" s="129">
        <v>86</v>
      </c>
      <c r="E7" s="129">
        <v>12</v>
      </c>
      <c r="F7" s="129">
        <v>12</v>
      </c>
      <c r="G7" s="129">
        <v>23</v>
      </c>
      <c r="H7" s="61">
        <v>43</v>
      </c>
      <c r="I7" s="75">
        <v>500</v>
      </c>
      <c r="J7" s="54">
        <f t="shared" ref="J7:J14" si="0">SUM(D7:H7)</f>
        <v>176</v>
      </c>
      <c r="K7" s="122">
        <f t="shared" ref="K7:K14" si="1">J7/I6</f>
        <v>0.35199999999999998</v>
      </c>
      <c r="L7" s="103" t="str">
        <f t="shared" ref="L7:L20" si="2">IF(K7&gt;=85%,"Outstanding",IF(K7&gt;=80%,"Excellent",IF(K7&gt;=70%,"Very Good",IF(K7&gt;=60%,"Good",IF(K7&gt;=50%,"Satisfactory",IF(K7&gt;=40%,"Fair","Needs Attention"))))))</f>
        <v>Needs Attention</v>
      </c>
    </row>
    <row r="8" spans="1:12" ht="15.6">
      <c r="A8" s="70">
        <v>3</v>
      </c>
      <c r="B8" s="71"/>
      <c r="C8" s="71"/>
      <c r="D8" s="61"/>
      <c r="E8" s="61"/>
      <c r="F8" s="61"/>
      <c r="G8" s="61"/>
      <c r="H8" s="61"/>
      <c r="I8" s="75">
        <v>500</v>
      </c>
      <c r="J8" s="54">
        <f t="shared" si="0"/>
        <v>0</v>
      </c>
      <c r="K8" s="122">
        <f t="shared" si="1"/>
        <v>0</v>
      </c>
      <c r="L8" s="103" t="str">
        <f t="shared" si="2"/>
        <v>Needs Attention</v>
      </c>
    </row>
    <row r="9" spans="1:12" ht="15.6">
      <c r="A9" s="70">
        <v>4</v>
      </c>
      <c r="B9" s="71"/>
      <c r="C9" s="71"/>
      <c r="D9" s="61"/>
      <c r="E9" s="61"/>
      <c r="F9" s="61"/>
      <c r="G9" s="61"/>
      <c r="H9" s="61"/>
      <c r="I9" s="75">
        <v>500</v>
      </c>
      <c r="J9" s="54">
        <f t="shared" si="0"/>
        <v>0</v>
      </c>
      <c r="K9" s="122">
        <f t="shared" si="1"/>
        <v>0</v>
      </c>
      <c r="L9" s="103" t="str">
        <f t="shared" si="2"/>
        <v>Needs Attention</v>
      </c>
    </row>
    <row r="10" spans="1:12" ht="15.6">
      <c r="A10" s="70">
        <v>5</v>
      </c>
      <c r="B10" s="71"/>
      <c r="C10" s="71"/>
      <c r="D10" s="61"/>
      <c r="E10" s="61"/>
      <c r="F10" s="61"/>
      <c r="G10" s="61"/>
      <c r="H10" s="61"/>
      <c r="I10" s="75">
        <v>500</v>
      </c>
      <c r="J10" s="54">
        <f t="shared" si="0"/>
        <v>0</v>
      </c>
      <c r="K10" s="122">
        <f t="shared" si="1"/>
        <v>0</v>
      </c>
      <c r="L10" s="103" t="str">
        <f t="shared" si="2"/>
        <v>Needs Attention</v>
      </c>
    </row>
    <row r="11" spans="1:12" ht="15.6">
      <c r="A11" s="70">
        <v>6</v>
      </c>
      <c r="B11" s="71"/>
      <c r="C11" s="71"/>
      <c r="D11" s="61"/>
      <c r="E11" s="61"/>
      <c r="F11" s="61"/>
      <c r="G11" s="61"/>
      <c r="H11" s="61"/>
      <c r="I11" s="75">
        <v>500</v>
      </c>
      <c r="J11" s="54">
        <f t="shared" si="0"/>
        <v>0</v>
      </c>
      <c r="K11" s="122">
        <f t="shared" si="1"/>
        <v>0</v>
      </c>
      <c r="L11" s="103" t="str">
        <f t="shared" si="2"/>
        <v>Needs Attention</v>
      </c>
    </row>
    <row r="12" spans="1:12" ht="15.6">
      <c r="A12" s="70">
        <v>7</v>
      </c>
      <c r="B12" s="71"/>
      <c r="C12" s="71"/>
      <c r="D12" s="61"/>
      <c r="E12" s="61"/>
      <c r="F12" s="61"/>
      <c r="G12" s="61"/>
      <c r="H12" s="61"/>
      <c r="I12" s="75">
        <v>500</v>
      </c>
      <c r="J12" s="54">
        <f t="shared" si="0"/>
        <v>0</v>
      </c>
      <c r="K12" s="122">
        <f t="shared" si="1"/>
        <v>0</v>
      </c>
      <c r="L12" s="103" t="str">
        <f t="shared" si="2"/>
        <v>Needs Attention</v>
      </c>
    </row>
    <row r="13" spans="1:12" ht="15.6">
      <c r="A13" s="70">
        <v>8</v>
      </c>
      <c r="B13" s="71"/>
      <c r="C13" s="71"/>
      <c r="D13" s="61"/>
      <c r="E13" s="61"/>
      <c r="F13" s="61"/>
      <c r="G13" s="61"/>
      <c r="H13" s="61"/>
      <c r="I13" s="75">
        <v>500</v>
      </c>
      <c r="J13" s="54">
        <f t="shared" si="0"/>
        <v>0</v>
      </c>
      <c r="K13" s="122">
        <f t="shared" si="1"/>
        <v>0</v>
      </c>
      <c r="L13" s="103" t="str">
        <f t="shared" si="2"/>
        <v>Needs Attention</v>
      </c>
    </row>
    <row r="14" spans="1:12" ht="15.6">
      <c r="A14" s="70">
        <v>9</v>
      </c>
      <c r="B14" s="71"/>
      <c r="C14" s="71"/>
      <c r="D14" s="61"/>
      <c r="E14" s="61"/>
      <c r="F14" s="61"/>
      <c r="G14" s="61"/>
      <c r="H14" s="61"/>
      <c r="I14" s="75">
        <v>500</v>
      </c>
      <c r="J14" s="54">
        <f t="shared" si="0"/>
        <v>0</v>
      </c>
      <c r="K14" s="122">
        <f t="shared" si="1"/>
        <v>0</v>
      </c>
      <c r="L14" s="103" t="str">
        <f t="shared" si="2"/>
        <v>Needs Attention</v>
      </c>
    </row>
    <row r="15" spans="1:12" ht="15.6">
      <c r="A15" s="70">
        <v>10</v>
      </c>
      <c r="B15" s="71"/>
      <c r="C15" s="71"/>
      <c r="D15" s="61"/>
      <c r="E15" s="61"/>
      <c r="F15" s="61"/>
      <c r="G15" s="61"/>
      <c r="H15" s="61"/>
      <c r="I15" s="75">
        <v>500</v>
      </c>
      <c r="J15" s="54">
        <f t="shared" ref="J15:J20" si="3">SUM(D15:H15)</f>
        <v>0</v>
      </c>
      <c r="K15" s="122">
        <f t="shared" ref="K15:K20" si="4">J15/I14</f>
        <v>0</v>
      </c>
      <c r="L15" s="103" t="str">
        <f t="shared" si="2"/>
        <v>Needs Attention</v>
      </c>
    </row>
    <row r="16" spans="1:12" ht="15.6">
      <c r="A16" s="70">
        <v>11</v>
      </c>
      <c r="B16" s="71"/>
      <c r="C16" s="71"/>
      <c r="D16" s="61"/>
      <c r="E16" s="61"/>
      <c r="F16" s="61"/>
      <c r="G16" s="61"/>
      <c r="H16" s="61"/>
      <c r="I16" s="75">
        <v>500</v>
      </c>
      <c r="J16" s="54">
        <f t="shared" si="3"/>
        <v>0</v>
      </c>
      <c r="K16" s="122">
        <f t="shared" si="4"/>
        <v>0</v>
      </c>
      <c r="L16" s="103" t="str">
        <f t="shared" si="2"/>
        <v>Needs Attention</v>
      </c>
    </row>
    <row r="17" spans="1:12" ht="15.6">
      <c r="A17" s="70">
        <v>12</v>
      </c>
      <c r="B17" s="71"/>
      <c r="C17" s="71"/>
      <c r="D17" s="61"/>
      <c r="E17" s="61"/>
      <c r="F17" s="61"/>
      <c r="G17" s="61"/>
      <c r="H17" s="61"/>
      <c r="I17" s="75">
        <v>500</v>
      </c>
      <c r="J17" s="54">
        <f t="shared" si="3"/>
        <v>0</v>
      </c>
      <c r="K17" s="122">
        <f t="shared" si="4"/>
        <v>0</v>
      </c>
      <c r="L17" s="103" t="str">
        <f t="shared" si="2"/>
        <v>Needs Attention</v>
      </c>
    </row>
    <row r="18" spans="1:12" ht="15.6">
      <c r="A18" s="70">
        <v>13</v>
      </c>
      <c r="B18" s="71"/>
      <c r="C18" s="71"/>
      <c r="D18" s="61"/>
      <c r="E18" s="61"/>
      <c r="F18" s="61"/>
      <c r="G18" s="61"/>
      <c r="H18" s="61"/>
      <c r="I18" s="75">
        <v>500</v>
      </c>
      <c r="J18" s="54">
        <f t="shared" si="3"/>
        <v>0</v>
      </c>
      <c r="K18" s="122">
        <f t="shared" si="4"/>
        <v>0</v>
      </c>
      <c r="L18" s="103" t="str">
        <f t="shared" si="2"/>
        <v>Needs Attention</v>
      </c>
    </row>
    <row r="19" spans="1:12" ht="15.6">
      <c r="A19" s="70">
        <v>14</v>
      </c>
      <c r="B19" s="71"/>
      <c r="C19" s="71"/>
      <c r="D19" s="61"/>
      <c r="E19" s="61"/>
      <c r="F19" s="61"/>
      <c r="G19" s="61"/>
      <c r="H19" s="61"/>
      <c r="I19" s="75">
        <v>500</v>
      </c>
      <c r="J19" s="54">
        <f t="shared" si="3"/>
        <v>0</v>
      </c>
      <c r="K19" s="122">
        <f t="shared" si="4"/>
        <v>0</v>
      </c>
      <c r="L19" s="103" t="str">
        <f t="shared" si="2"/>
        <v>Needs Attention</v>
      </c>
    </row>
    <row r="20" spans="1:12" ht="16.2" thickBot="1">
      <c r="A20" s="72">
        <v>15</v>
      </c>
      <c r="B20" s="73"/>
      <c r="C20" s="73"/>
      <c r="D20" s="62"/>
      <c r="E20" s="62"/>
      <c r="F20" s="62"/>
      <c r="G20" s="62"/>
      <c r="H20" s="62"/>
      <c r="I20" s="45">
        <v>500</v>
      </c>
      <c r="J20" s="92">
        <f t="shared" si="3"/>
        <v>0</v>
      </c>
      <c r="K20" s="123">
        <f t="shared" si="4"/>
        <v>0</v>
      </c>
      <c r="L20" s="104" t="str">
        <f t="shared" si="2"/>
        <v>Needs Attention</v>
      </c>
    </row>
    <row r="21" spans="1:12" ht="15" thickBot="1"/>
    <row r="22" spans="1:12" ht="18.600000000000001" customHeight="1" thickBot="1">
      <c r="A22" s="159" t="s">
        <v>310</v>
      </c>
      <c r="B22" s="160"/>
      <c r="C22" s="160"/>
      <c r="H22" s="159" t="s">
        <v>311</v>
      </c>
      <c r="I22" s="161"/>
      <c r="J22" s="161"/>
      <c r="K22" s="147" t="s">
        <v>42</v>
      </c>
      <c r="L22" s="148"/>
    </row>
    <row r="23" spans="1:12" ht="29.4" customHeight="1">
      <c r="A23" s="160"/>
      <c r="B23" s="160"/>
      <c r="C23" s="160"/>
      <c r="H23" s="161"/>
      <c r="I23" s="161"/>
      <c r="J23" s="161"/>
      <c r="K23" s="48" t="s">
        <v>43</v>
      </c>
      <c r="L23" s="63">
        <v>0</v>
      </c>
    </row>
    <row r="24" spans="1:12" ht="18.600000000000001" thickBot="1">
      <c r="K24" s="49" t="s">
        <v>44</v>
      </c>
      <c r="L24" s="63">
        <v>0</v>
      </c>
    </row>
    <row r="25" spans="1:12" ht="18.600000000000001" thickBot="1">
      <c r="C25" s="2" t="s">
        <v>45</v>
      </c>
      <c r="D25" s="3" t="s">
        <v>46</v>
      </c>
      <c r="E25" s="3" t="s">
        <v>7</v>
      </c>
      <c r="F25" s="3" t="s">
        <v>8</v>
      </c>
      <c r="G25" s="76" t="s">
        <v>9</v>
      </c>
      <c r="H25" s="77" t="s">
        <v>309</v>
      </c>
      <c r="K25" s="49" t="s">
        <v>47</v>
      </c>
      <c r="L25" s="63">
        <v>0</v>
      </c>
    </row>
    <row r="26" spans="1:12" ht="18.600000000000001" thickBot="1">
      <c r="C26" s="105" t="s">
        <v>48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K26" s="49" t="s">
        <v>49</v>
      </c>
      <c r="L26" s="63">
        <v>0</v>
      </c>
    </row>
    <row r="27" spans="1:12" ht="18.600000000000001" thickBot="1">
      <c r="C27" s="10" t="s">
        <v>50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K27" s="49" t="s">
        <v>51</v>
      </c>
      <c r="L27" s="63">
        <v>0</v>
      </c>
    </row>
    <row r="28" spans="1:12" ht="18.600000000000001" thickBot="1">
      <c r="C28" s="10" t="s">
        <v>52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K28" s="50" t="s">
        <v>53</v>
      </c>
      <c r="L28" s="63">
        <v>0</v>
      </c>
    </row>
    <row r="29" spans="1:12" ht="15" thickBot="1">
      <c r="C29" s="14" t="s">
        <v>54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</row>
    <row r="31" spans="1:12">
      <c r="C31" s="67"/>
      <c r="D31" s="67"/>
      <c r="E31" s="67"/>
      <c r="F31" s="67"/>
      <c r="G31" s="67"/>
      <c r="H31" s="67"/>
      <c r="I31" s="67"/>
      <c r="J31" s="67"/>
      <c r="K31" s="68"/>
    </row>
    <row r="32" spans="1:12" ht="18">
      <c r="E32" s="69"/>
    </row>
    <row r="33" spans="5:5" ht="18">
      <c r="E33" s="69"/>
    </row>
    <row r="34" spans="5:5" ht="18">
      <c r="E34" s="69"/>
    </row>
    <row r="35" spans="5:5" ht="18">
      <c r="E35" s="69"/>
    </row>
    <row r="36" spans="5:5" ht="18">
      <c r="E36" s="69"/>
    </row>
    <row r="37" spans="5:5" ht="18">
      <c r="E37" s="69"/>
    </row>
    <row r="38" spans="5:5" ht="18">
      <c r="E38" s="69"/>
    </row>
  </sheetData>
  <mergeCells count="14">
    <mergeCell ref="A1:L1"/>
    <mergeCell ref="A2:L2"/>
    <mergeCell ref="A3:C3"/>
    <mergeCell ref="D3:J3"/>
    <mergeCell ref="K3:L3"/>
    <mergeCell ref="K22:L22"/>
    <mergeCell ref="A4:A5"/>
    <mergeCell ref="B4:B5"/>
    <mergeCell ref="C4:C5"/>
    <mergeCell ref="J4:J5"/>
    <mergeCell ref="K4:K5"/>
    <mergeCell ref="L4:L5"/>
    <mergeCell ref="A22:C23"/>
    <mergeCell ref="H22:J23"/>
  </mergeCells>
  <phoneticPr fontId="19" type="noConversion"/>
  <conditionalFormatting sqref="D6:H6 D8:H20">
    <cfRule type="cellIs" dxfId="109" priority="3" operator="lessThan">
      <formula>40</formula>
    </cfRule>
    <cfRule type="cellIs" dxfId="108" priority="4" operator="lessThan">
      <formula>20</formula>
    </cfRule>
  </conditionalFormatting>
  <conditionalFormatting sqref="J6:J20">
    <cfRule type="cellIs" dxfId="107" priority="8" operator="lessThan">
      <formula>80</formula>
    </cfRule>
  </conditionalFormatting>
  <conditionalFormatting sqref="K6:K20">
    <cfRule type="cellIs" dxfId="106" priority="5" operator="lessThan">
      <formula>0.4</formula>
    </cfRule>
    <cfRule type="cellIs" dxfId="105" priority="11" operator="lessThan">
      <formula>0.4</formula>
    </cfRule>
  </conditionalFormatting>
  <conditionalFormatting sqref="D7:H7">
    <cfRule type="cellIs" dxfId="1" priority="1" operator="lessThan">
      <formula>40</formula>
    </cfRule>
    <cfRule type="cellIs" dxfId="0" priority="2" operator="lessThan">
      <formula>20</formula>
    </cfRule>
  </conditionalFormatting>
  <printOptions horizontalCentered="1"/>
  <pageMargins left="0.25" right="0.25" top="0.75" bottom="0.75" header="0.3" footer="0.3"/>
  <pageSetup paperSize="9" scale="87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6"/>
  <sheetViews>
    <sheetView view="pageBreakPreview" zoomScale="70" zoomScaleNormal="70" zoomScaleSheetLayoutView="70" workbookViewId="0">
      <selection activeCell="A6" sqref="A6:G6"/>
    </sheetView>
  </sheetViews>
  <sheetFormatPr defaultColWidth="9" defaultRowHeight="14.4"/>
  <cols>
    <col min="1" max="1" width="11.88671875" customWidth="1"/>
    <col min="2" max="2" width="16.5546875" customWidth="1"/>
    <col min="3" max="3" width="22.6640625" customWidth="1"/>
    <col min="8" max="8" width="10.21875" customWidth="1"/>
    <col min="11" max="11" width="20" customWidth="1"/>
    <col min="12" max="12" width="12.33203125" customWidth="1"/>
    <col min="13" max="13" width="10.77734375" customWidth="1"/>
    <col min="14" max="14" width="25.21875" customWidth="1"/>
  </cols>
  <sheetData>
    <row r="1" spans="1:14" ht="30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55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57" t="s">
        <v>13</v>
      </c>
    </row>
    <row r="5" spans="1:14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54"/>
      <c r="M5" s="156"/>
      <c r="N5" s="158"/>
    </row>
    <row r="6" spans="1:14" ht="15.6">
      <c r="A6" s="70">
        <v>1</v>
      </c>
      <c r="B6" s="71" t="s">
        <v>343</v>
      </c>
      <c r="C6" s="71" t="s">
        <v>342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39">
        <f>SUM(D6:J6)</f>
        <v>436</v>
      </c>
      <c r="M6" s="122">
        <f>L6/K5</f>
        <v>0.872</v>
      </c>
      <c r="N6" s="4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/>
      <c r="C7" s="71"/>
      <c r="D7" s="129"/>
      <c r="E7" s="129"/>
      <c r="F7" s="129"/>
      <c r="G7" s="129"/>
      <c r="H7" s="129"/>
      <c r="I7" s="129"/>
      <c r="J7" s="129"/>
      <c r="K7" s="113">
        <v>500</v>
      </c>
      <c r="L7" s="39">
        <f>SUM(D7:J7)</f>
        <v>0</v>
      </c>
      <c r="M7" s="122">
        <f t="shared" ref="M7:M18" si="0">L7/K6</f>
        <v>0</v>
      </c>
      <c r="N7" s="44" t="str">
        <f t="shared" ref="N7:N18" si="1">IF(M7&gt;=85%,"Outstanding",IF(M7&gt;=80%,"Excellent",IF(M7&gt;=70%,"Very Good",IF(M7&gt;=60%,"Good",IF(M7&gt;=50%,"Satisfactory",IF(M7&gt;=40%,"Fair","Needs Attention"))))))</f>
        <v>Needs Attention</v>
      </c>
    </row>
    <row r="8" spans="1:14" ht="15.6">
      <c r="A8" s="70">
        <v>3</v>
      </c>
      <c r="B8" s="71"/>
      <c r="C8" s="71"/>
      <c r="D8" s="129"/>
      <c r="E8" s="129"/>
      <c r="F8" s="129"/>
      <c r="G8" s="129"/>
      <c r="H8" s="129"/>
      <c r="I8" s="129"/>
      <c r="J8" s="129"/>
      <c r="K8" s="113">
        <v>500</v>
      </c>
      <c r="L8" s="39">
        <f t="shared" ref="L8:L18" si="2">SUM(D8:J8)</f>
        <v>0</v>
      </c>
      <c r="M8" s="122">
        <f t="shared" si="0"/>
        <v>0</v>
      </c>
      <c r="N8" s="44" t="str">
        <f t="shared" si="1"/>
        <v>Needs Attention</v>
      </c>
    </row>
    <row r="9" spans="1:14" ht="15.6">
      <c r="A9" s="70">
        <v>4</v>
      </c>
      <c r="B9" s="71"/>
      <c r="C9" s="71"/>
      <c r="D9" s="129"/>
      <c r="E9" s="129"/>
      <c r="F9" s="129"/>
      <c r="G9" s="129"/>
      <c r="H9" s="129"/>
      <c r="I9" s="129"/>
      <c r="J9" s="129"/>
      <c r="K9" s="113">
        <v>500</v>
      </c>
      <c r="L9" s="39">
        <f t="shared" si="2"/>
        <v>0</v>
      </c>
      <c r="M9" s="122">
        <f t="shared" si="0"/>
        <v>0</v>
      </c>
      <c r="N9" s="44" t="str">
        <f t="shared" si="1"/>
        <v>Needs Attention</v>
      </c>
    </row>
    <row r="10" spans="1:14" ht="15.6">
      <c r="A10" s="70">
        <v>5</v>
      </c>
      <c r="B10" s="71"/>
      <c r="C10" s="71"/>
      <c r="D10" s="129"/>
      <c r="E10" s="129"/>
      <c r="F10" s="129"/>
      <c r="G10" s="129"/>
      <c r="H10" s="129"/>
      <c r="I10" s="129"/>
      <c r="J10" s="129"/>
      <c r="K10" s="113">
        <v>500</v>
      </c>
      <c r="L10" s="39">
        <f t="shared" si="2"/>
        <v>0</v>
      </c>
      <c r="M10" s="122">
        <f t="shared" si="0"/>
        <v>0</v>
      </c>
      <c r="N10" s="44" t="str">
        <f t="shared" si="1"/>
        <v>Needs Attention</v>
      </c>
    </row>
    <row r="11" spans="1:14" ht="15.6">
      <c r="A11" s="70">
        <v>6</v>
      </c>
      <c r="B11" s="71"/>
      <c r="C11" s="71"/>
      <c r="D11" s="129"/>
      <c r="E11" s="129"/>
      <c r="F11" s="129"/>
      <c r="G11" s="129"/>
      <c r="H11" s="129"/>
      <c r="I11" s="129"/>
      <c r="J11" s="129"/>
      <c r="K11" s="113">
        <v>500</v>
      </c>
      <c r="L11" s="39">
        <f t="shared" si="2"/>
        <v>0</v>
      </c>
      <c r="M11" s="122">
        <f t="shared" si="0"/>
        <v>0</v>
      </c>
      <c r="N11" s="44" t="str">
        <f t="shared" si="1"/>
        <v>Needs Attention</v>
      </c>
    </row>
    <row r="12" spans="1:14" ht="15.6">
      <c r="A12" s="70">
        <v>7</v>
      </c>
      <c r="B12" s="71"/>
      <c r="C12" s="71"/>
      <c r="D12" s="129"/>
      <c r="E12" s="129"/>
      <c r="F12" s="129"/>
      <c r="G12" s="129"/>
      <c r="H12" s="129"/>
      <c r="I12" s="129"/>
      <c r="J12" s="129"/>
      <c r="K12" s="113">
        <v>500</v>
      </c>
      <c r="L12" s="39">
        <f t="shared" si="2"/>
        <v>0</v>
      </c>
      <c r="M12" s="122">
        <f t="shared" si="0"/>
        <v>0</v>
      </c>
      <c r="N12" s="44" t="str">
        <f t="shared" si="1"/>
        <v>Needs Attention</v>
      </c>
    </row>
    <row r="13" spans="1:14" ht="15.6">
      <c r="A13" s="70">
        <v>8</v>
      </c>
      <c r="B13" s="71"/>
      <c r="C13" s="71"/>
      <c r="D13" s="129"/>
      <c r="E13" s="129"/>
      <c r="F13" s="129"/>
      <c r="G13" s="129"/>
      <c r="H13" s="129"/>
      <c r="I13" s="129"/>
      <c r="J13" s="129"/>
      <c r="K13" s="113">
        <v>500</v>
      </c>
      <c r="L13" s="39">
        <f t="shared" si="2"/>
        <v>0</v>
      </c>
      <c r="M13" s="122">
        <f t="shared" si="0"/>
        <v>0</v>
      </c>
      <c r="N13" s="44" t="str">
        <f t="shared" si="1"/>
        <v>Needs Attention</v>
      </c>
    </row>
    <row r="14" spans="1:14" ht="15.6">
      <c r="A14" s="70">
        <v>9</v>
      </c>
      <c r="B14" s="71"/>
      <c r="C14" s="71"/>
      <c r="D14" s="129"/>
      <c r="E14" s="129"/>
      <c r="F14" s="129"/>
      <c r="G14" s="129"/>
      <c r="H14" s="129"/>
      <c r="I14" s="129"/>
      <c r="J14" s="129"/>
      <c r="K14" s="113">
        <v>500</v>
      </c>
      <c r="L14" s="39">
        <f t="shared" si="2"/>
        <v>0</v>
      </c>
      <c r="M14" s="122">
        <f>L14/K14</f>
        <v>0</v>
      </c>
      <c r="N14" s="44" t="str">
        <f t="shared" si="1"/>
        <v>Needs Attention</v>
      </c>
    </row>
    <row r="15" spans="1:14" ht="15.6">
      <c r="A15" s="70">
        <v>10</v>
      </c>
      <c r="B15" s="71"/>
      <c r="C15" s="71"/>
      <c r="D15" s="129"/>
      <c r="E15" s="129"/>
      <c r="F15" s="129"/>
      <c r="G15" s="129"/>
      <c r="H15" s="129"/>
      <c r="I15" s="129"/>
      <c r="J15" s="129"/>
      <c r="K15" s="113">
        <v>500</v>
      </c>
      <c r="L15" s="39">
        <f t="shared" si="2"/>
        <v>0</v>
      </c>
      <c r="M15" s="122">
        <f t="shared" si="0"/>
        <v>0</v>
      </c>
      <c r="N15" s="44" t="str">
        <f t="shared" si="1"/>
        <v>Needs Attention</v>
      </c>
    </row>
    <row r="16" spans="1:14" ht="15.6">
      <c r="A16" s="70">
        <v>11</v>
      </c>
      <c r="B16" s="71"/>
      <c r="C16" s="71"/>
      <c r="D16" s="129"/>
      <c r="E16" s="129"/>
      <c r="F16" s="129"/>
      <c r="G16" s="129"/>
      <c r="H16" s="129"/>
      <c r="I16" s="129"/>
      <c r="J16" s="129"/>
      <c r="K16" s="113">
        <v>500</v>
      </c>
      <c r="L16" s="39">
        <f t="shared" si="2"/>
        <v>0</v>
      </c>
      <c r="M16" s="122">
        <f t="shared" si="0"/>
        <v>0</v>
      </c>
      <c r="N16" s="44" t="str">
        <f t="shared" si="1"/>
        <v>Needs Attention</v>
      </c>
    </row>
    <row r="17" spans="1:14" ht="15.6">
      <c r="A17" s="70">
        <v>12</v>
      </c>
      <c r="B17" s="71"/>
      <c r="C17" s="71"/>
      <c r="D17" s="129"/>
      <c r="E17" s="129"/>
      <c r="F17" s="129"/>
      <c r="G17" s="129"/>
      <c r="H17" s="129"/>
      <c r="I17" s="129"/>
      <c r="J17" s="129"/>
      <c r="K17" s="113">
        <v>500</v>
      </c>
      <c r="L17" s="39">
        <f t="shared" si="2"/>
        <v>0</v>
      </c>
      <c r="M17" s="122">
        <f t="shared" si="0"/>
        <v>0</v>
      </c>
      <c r="N17" s="44" t="str">
        <f t="shared" si="1"/>
        <v>Needs Attention</v>
      </c>
    </row>
    <row r="18" spans="1:14" ht="16.2" thickBot="1">
      <c r="A18" s="72">
        <v>13</v>
      </c>
      <c r="B18" s="73"/>
      <c r="C18" s="73"/>
      <c r="D18" s="140"/>
      <c r="E18" s="140"/>
      <c r="F18" s="140"/>
      <c r="G18" s="140"/>
      <c r="H18" s="140"/>
      <c r="I18" s="140"/>
      <c r="J18" s="140"/>
      <c r="K18" s="114">
        <v>500</v>
      </c>
      <c r="L18" s="39">
        <f t="shared" si="2"/>
        <v>0</v>
      </c>
      <c r="M18" s="123">
        <f t="shared" si="0"/>
        <v>0</v>
      </c>
      <c r="N18" s="47" t="str">
        <f t="shared" si="1"/>
        <v>Needs Attention</v>
      </c>
    </row>
    <row r="20" spans="1:14">
      <c r="A20" s="173" t="s">
        <v>40</v>
      </c>
      <c r="B20" s="174"/>
      <c r="C20" s="174"/>
      <c r="K20" s="173" t="s">
        <v>41</v>
      </c>
      <c r="L20" s="174"/>
      <c r="M20" s="174"/>
    </row>
    <row r="21" spans="1:14" ht="55.95" customHeight="1" thickBot="1">
      <c r="A21" s="174"/>
      <c r="B21" s="174"/>
      <c r="C21" s="174"/>
      <c r="K21" s="174"/>
      <c r="L21" s="174"/>
      <c r="M21" s="174"/>
    </row>
    <row r="22" spans="1:14" ht="18.600000000000001" thickBot="1">
      <c r="B22" s="2" t="s">
        <v>45</v>
      </c>
      <c r="C22" s="3" t="s">
        <v>46</v>
      </c>
      <c r="D22" s="3" t="s">
        <v>7</v>
      </c>
      <c r="E22" s="3" t="s">
        <v>56</v>
      </c>
      <c r="F22" s="3" t="s">
        <v>8</v>
      </c>
      <c r="G22" s="3" t="s">
        <v>57</v>
      </c>
      <c r="H22" s="26" t="s">
        <v>85</v>
      </c>
      <c r="I22" s="26" t="s">
        <v>59</v>
      </c>
      <c r="K22" s="106" t="s">
        <v>86</v>
      </c>
      <c r="L22" s="107"/>
    </row>
    <row r="23" spans="1:14" ht="18.600000000000001" thickBot="1">
      <c r="B23" s="23" t="s">
        <v>48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K23" s="48" t="s">
        <v>43</v>
      </c>
      <c r="L23" s="63">
        <v>0</v>
      </c>
    </row>
    <row r="24" spans="1:14" ht="18.600000000000001" thickBot="1">
      <c r="B24" s="10" t="s">
        <v>50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K24" s="49" t="s">
        <v>44</v>
      </c>
      <c r="L24" s="63">
        <v>0</v>
      </c>
    </row>
    <row r="25" spans="1:14" ht="18.600000000000001" thickBot="1">
      <c r="B25" s="10" t="s">
        <v>52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K25" s="49" t="s">
        <v>47</v>
      </c>
      <c r="L25" s="63">
        <v>0</v>
      </c>
    </row>
    <row r="26" spans="1:14" ht="18.600000000000001" thickBot="1">
      <c r="B26" s="14" t="s">
        <v>54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K26" s="49" t="s">
        <v>49</v>
      </c>
      <c r="L26" s="63">
        <v>0</v>
      </c>
    </row>
    <row r="27" spans="1:14" ht="18">
      <c r="K27" s="49" t="s">
        <v>51</v>
      </c>
      <c r="L27" s="63">
        <v>0</v>
      </c>
    </row>
    <row r="28" spans="1:14" ht="18.600000000000001" thickBot="1">
      <c r="K28" s="50" t="s">
        <v>53</v>
      </c>
      <c r="L28" s="63">
        <v>0</v>
      </c>
    </row>
    <row r="29" spans="1:14">
      <c r="C29" s="18"/>
      <c r="D29" s="18"/>
      <c r="E29" s="18"/>
      <c r="F29" s="18"/>
      <c r="G29" s="18"/>
      <c r="H29" s="18"/>
      <c r="I29" s="18"/>
      <c r="J29" s="31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  <row r="35" spans="5:5" ht="18">
      <c r="E35" s="19"/>
    </row>
    <row r="36" spans="5:5" ht="18">
      <c r="E36" s="19"/>
    </row>
  </sheetData>
  <mergeCells count="13">
    <mergeCell ref="A1:N1"/>
    <mergeCell ref="A2:N2"/>
    <mergeCell ref="A3:C3"/>
    <mergeCell ref="D3:J3"/>
    <mergeCell ref="K3:N3"/>
    <mergeCell ref="N4:N5"/>
    <mergeCell ref="A20:C21"/>
    <mergeCell ref="K20:M21"/>
    <mergeCell ref="A4:A5"/>
    <mergeCell ref="B4:B5"/>
    <mergeCell ref="C4:C5"/>
    <mergeCell ref="L4:L5"/>
    <mergeCell ref="M4:M5"/>
  </mergeCells>
  <phoneticPr fontId="19" type="noConversion"/>
  <conditionalFormatting sqref="D6:H18">
    <cfRule type="cellIs" dxfId="104" priority="1" operator="lessThan">
      <formula>40</formula>
    </cfRule>
    <cfRule type="cellIs" dxfId="103" priority="2" operator="lessThan">
      <formula>20</formula>
    </cfRule>
  </conditionalFormatting>
  <conditionalFormatting sqref="I6:J18">
    <cfRule type="cellIs" dxfId="102" priority="4" operator="lessThan">
      <formula>20</formula>
    </cfRule>
  </conditionalFormatting>
  <conditionalFormatting sqref="K6:K18">
    <cfRule type="cellIs" dxfId="101" priority="12" operator="lessThan">
      <formula>10</formula>
    </cfRule>
  </conditionalFormatting>
  <conditionalFormatting sqref="L6:L18">
    <cfRule type="cellIs" dxfId="100" priority="19" operator="lessThan">
      <formula>70</formula>
    </cfRule>
  </conditionalFormatting>
  <conditionalFormatting sqref="M6:M18">
    <cfRule type="cellIs" dxfId="99" priority="22" operator="lessThan">
      <formula>0.4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zoomScale="70" zoomScaleNormal="70" zoomScaleSheetLayoutView="85" workbookViewId="0">
      <selection activeCell="A6" sqref="A6:J6"/>
    </sheetView>
  </sheetViews>
  <sheetFormatPr defaultColWidth="9" defaultRowHeight="14.4"/>
  <cols>
    <col min="1" max="1" width="13.6640625" customWidth="1"/>
    <col min="2" max="2" width="14.88671875" customWidth="1"/>
    <col min="3" max="3" width="25.44140625" customWidth="1"/>
    <col min="12" max="12" width="19" customWidth="1"/>
    <col min="13" max="13" width="11.33203125" customWidth="1"/>
    <col min="14" max="14" width="24.6640625" customWidth="1"/>
  </cols>
  <sheetData>
    <row r="1" spans="1:14" ht="28.8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87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76" t="s">
        <v>13</v>
      </c>
    </row>
    <row r="5" spans="1:14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54"/>
      <c r="M5" s="156"/>
      <c r="N5" s="157"/>
    </row>
    <row r="6" spans="1:14" ht="15.6">
      <c r="A6" s="70">
        <v>1</v>
      </c>
      <c r="B6" s="71" t="s">
        <v>16</v>
      </c>
      <c r="C6" s="71" t="s">
        <v>17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43">
        <f>SUM(D6:J6)</f>
        <v>436</v>
      </c>
      <c r="M6" s="116">
        <f>L6/K5</f>
        <v>0.872</v>
      </c>
      <c r="N6" s="13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18</v>
      </c>
      <c r="C7" s="71" t="s">
        <v>19</v>
      </c>
      <c r="D7" s="129">
        <v>90</v>
      </c>
      <c r="E7" s="129">
        <v>85</v>
      </c>
      <c r="F7" s="129">
        <v>85</v>
      </c>
      <c r="G7" s="129">
        <v>93</v>
      </c>
      <c r="H7" s="129" t="s">
        <v>315</v>
      </c>
      <c r="I7" s="129">
        <v>40</v>
      </c>
      <c r="J7" s="129">
        <v>41</v>
      </c>
      <c r="K7" s="113">
        <v>500</v>
      </c>
      <c r="L7" s="43">
        <f>SUM(D7:J7)</f>
        <v>434</v>
      </c>
      <c r="M7" s="116">
        <f>L7/K6</f>
        <v>0.86799999999999999</v>
      </c>
      <c r="N7" s="134" t="str">
        <f t="shared" ref="N7:N26" si="0">IF(M7&gt;=85%,"Outstanding",IF(M7&gt;=80%,"Excellent",IF(M7&gt;=70%,"Very Good",IF(M7&gt;=60%,"Good",IF(M7&gt;=50%,"Satisfactory",IF(M7&gt;=40%,"Fair","Needs Attention"))))))</f>
        <v>Outstanding</v>
      </c>
    </row>
    <row r="8" spans="1:14" ht="15.6">
      <c r="A8" s="70">
        <v>3</v>
      </c>
      <c r="B8" s="112" t="s">
        <v>108</v>
      </c>
      <c r="C8" s="112" t="s">
        <v>109</v>
      </c>
      <c r="D8" s="129">
        <v>92.5</v>
      </c>
      <c r="E8" s="129">
        <v>84.5</v>
      </c>
      <c r="F8" s="129">
        <v>92</v>
      </c>
      <c r="G8" s="129">
        <v>81</v>
      </c>
      <c r="H8" s="129" t="s">
        <v>314</v>
      </c>
      <c r="I8" s="129">
        <v>47</v>
      </c>
      <c r="J8" s="129">
        <v>45.5</v>
      </c>
      <c r="K8" s="113">
        <v>500</v>
      </c>
      <c r="L8" s="43">
        <f t="shared" ref="L8:L26" si="1">SUM(D8:J8)</f>
        <v>442.5</v>
      </c>
      <c r="M8" s="116">
        <f t="shared" ref="M8:M26" si="2">L8/K7</f>
        <v>0.88500000000000001</v>
      </c>
      <c r="N8" s="134" t="str">
        <f t="shared" si="0"/>
        <v>Outstanding</v>
      </c>
    </row>
    <row r="9" spans="1:14" ht="15.6">
      <c r="A9" s="70">
        <v>4</v>
      </c>
      <c r="B9" s="86" t="s">
        <v>159</v>
      </c>
      <c r="C9" s="86" t="s">
        <v>160</v>
      </c>
      <c r="D9" s="129">
        <v>54.5</v>
      </c>
      <c r="E9" s="129">
        <v>64.5</v>
      </c>
      <c r="F9" s="129">
        <v>48</v>
      </c>
      <c r="G9" s="129">
        <v>56</v>
      </c>
      <c r="H9" s="129" t="s">
        <v>314</v>
      </c>
      <c r="I9" s="129">
        <v>39.5</v>
      </c>
      <c r="J9" s="129">
        <v>23</v>
      </c>
      <c r="K9" s="113">
        <v>500</v>
      </c>
      <c r="L9" s="43">
        <f t="shared" si="1"/>
        <v>285.5</v>
      </c>
      <c r="M9" s="116">
        <f t="shared" si="2"/>
        <v>0.57099999999999995</v>
      </c>
      <c r="N9" s="134" t="str">
        <f t="shared" si="0"/>
        <v>Satisfactory</v>
      </c>
    </row>
    <row r="10" spans="1:14" ht="15.6">
      <c r="A10" s="70">
        <v>5</v>
      </c>
      <c r="B10" s="137" t="s">
        <v>68</v>
      </c>
      <c r="C10" s="137" t="s">
        <v>69</v>
      </c>
      <c r="D10" s="129">
        <v>54</v>
      </c>
      <c r="E10" s="129">
        <v>32</v>
      </c>
      <c r="F10" s="129">
        <v>66</v>
      </c>
      <c r="G10" s="129">
        <v>43</v>
      </c>
      <c r="H10" s="129" t="s">
        <v>315</v>
      </c>
      <c r="I10" s="129">
        <v>13</v>
      </c>
      <c r="J10" s="129">
        <v>34.5</v>
      </c>
      <c r="K10" s="113">
        <v>500</v>
      </c>
      <c r="L10" s="43">
        <f t="shared" si="1"/>
        <v>242.5</v>
      </c>
      <c r="M10" s="116">
        <f t="shared" si="2"/>
        <v>0.48499999999999999</v>
      </c>
      <c r="N10" s="134" t="str">
        <f t="shared" si="0"/>
        <v>Fair</v>
      </c>
    </row>
    <row r="11" spans="1:14" ht="15.6">
      <c r="A11" s="70">
        <v>6</v>
      </c>
      <c r="B11" s="137" t="s">
        <v>70</v>
      </c>
      <c r="C11" s="137" t="s">
        <v>71</v>
      </c>
      <c r="D11" s="129">
        <v>90</v>
      </c>
      <c r="E11" s="129">
        <v>97</v>
      </c>
      <c r="F11" s="129">
        <v>97</v>
      </c>
      <c r="G11" s="129">
        <v>97</v>
      </c>
      <c r="H11" s="129" t="s">
        <v>315</v>
      </c>
      <c r="I11" s="129">
        <v>43.5</v>
      </c>
      <c r="J11" s="129">
        <v>39.5</v>
      </c>
      <c r="K11" s="113">
        <v>500</v>
      </c>
      <c r="L11" s="43">
        <f t="shared" si="1"/>
        <v>464</v>
      </c>
      <c r="M11" s="116">
        <f t="shared" si="2"/>
        <v>0.92800000000000005</v>
      </c>
      <c r="N11" s="134" t="str">
        <f t="shared" si="0"/>
        <v>Outstanding</v>
      </c>
    </row>
    <row r="12" spans="1:14" ht="15.6">
      <c r="A12" s="70">
        <v>7</v>
      </c>
      <c r="B12" s="71" t="s">
        <v>20</v>
      </c>
      <c r="C12" s="71" t="s">
        <v>21</v>
      </c>
      <c r="D12" s="129">
        <v>73</v>
      </c>
      <c r="E12" s="129">
        <v>67</v>
      </c>
      <c r="F12" s="129">
        <v>78</v>
      </c>
      <c r="G12" s="129">
        <v>82</v>
      </c>
      <c r="H12" s="129">
        <v>78</v>
      </c>
      <c r="I12" s="129">
        <v>28</v>
      </c>
      <c r="J12" s="129">
        <v>34</v>
      </c>
      <c r="K12" s="113">
        <v>500</v>
      </c>
      <c r="L12" s="43">
        <f t="shared" si="1"/>
        <v>440</v>
      </c>
      <c r="M12" s="116">
        <f t="shared" si="2"/>
        <v>0.88</v>
      </c>
      <c r="N12" s="134" t="str">
        <f t="shared" si="0"/>
        <v>Outstanding</v>
      </c>
    </row>
    <row r="13" spans="1:14" ht="15.6">
      <c r="A13" s="70">
        <v>8</v>
      </c>
      <c r="B13" s="71" t="s">
        <v>22</v>
      </c>
      <c r="C13" s="71" t="s">
        <v>23</v>
      </c>
      <c r="D13" s="129">
        <v>73</v>
      </c>
      <c r="E13" s="129">
        <v>52</v>
      </c>
      <c r="F13" s="129">
        <v>60</v>
      </c>
      <c r="G13" s="129">
        <v>69</v>
      </c>
      <c r="H13" s="129" t="s">
        <v>315</v>
      </c>
      <c r="I13" s="129">
        <v>39</v>
      </c>
      <c r="J13" s="129">
        <v>33</v>
      </c>
      <c r="K13" s="113">
        <v>500</v>
      </c>
      <c r="L13" s="43">
        <f t="shared" si="1"/>
        <v>326</v>
      </c>
      <c r="M13" s="116">
        <f t="shared" si="2"/>
        <v>0.65200000000000002</v>
      </c>
      <c r="N13" s="134" t="str">
        <f t="shared" si="0"/>
        <v>Good</v>
      </c>
    </row>
    <row r="14" spans="1:14" ht="15.6">
      <c r="A14" s="70">
        <v>9</v>
      </c>
      <c r="B14" s="137" t="s">
        <v>75</v>
      </c>
      <c r="C14" s="137" t="s">
        <v>76</v>
      </c>
      <c r="D14" s="129">
        <v>79</v>
      </c>
      <c r="E14" s="129">
        <v>83.5</v>
      </c>
      <c r="F14" s="129">
        <v>92</v>
      </c>
      <c r="G14" s="129">
        <v>58</v>
      </c>
      <c r="H14" s="129" t="s">
        <v>316</v>
      </c>
      <c r="I14" s="129">
        <v>32</v>
      </c>
      <c r="J14" s="129">
        <v>46.5</v>
      </c>
      <c r="K14" s="113">
        <v>500</v>
      </c>
      <c r="L14" s="43">
        <f t="shared" si="1"/>
        <v>391</v>
      </c>
      <c r="M14" s="116">
        <f t="shared" si="2"/>
        <v>0.78200000000000003</v>
      </c>
      <c r="N14" s="134" t="str">
        <f t="shared" si="0"/>
        <v>Very Good</v>
      </c>
    </row>
    <row r="15" spans="1:14" ht="15.6">
      <c r="A15" s="70">
        <v>10</v>
      </c>
      <c r="B15" s="137" t="s">
        <v>77</v>
      </c>
      <c r="C15" s="137" t="s">
        <v>78</v>
      </c>
      <c r="D15" s="129">
        <v>16</v>
      </c>
      <c r="E15" s="129">
        <v>18.5</v>
      </c>
      <c r="F15" s="129">
        <v>61</v>
      </c>
      <c r="G15" s="129">
        <v>36</v>
      </c>
      <c r="H15" s="129" t="s">
        <v>316</v>
      </c>
      <c r="I15" s="129">
        <v>4</v>
      </c>
      <c r="J15" s="129">
        <v>31</v>
      </c>
      <c r="K15" s="113">
        <v>500</v>
      </c>
      <c r="L15" s="43">
        <f t="shared" si="1"/>
        <v>166.5</v>
      </c>
      <c r="M15" s="116">
        <f t="shared" si="2"/>
        <v>0.33300000000000002</v>
      </c>
      <c r="N15" s="134" t="str">
        <f t="shared" si="0"/>
        <v>Needs Attention</v>
      </c>
    </row>
    <row r="16" spans="1:14" ht="15.6">
      <c r="A16" s="70">
        <v>11</v>
      </c>
      <c r="B16" s="137" t="s">
        <v>81</v>
      </c>
      <c r="C16" s="137" t="s">
        <v>82</v>
      </c>
      <c r="D16" s="129">
        <v>67</v>
      </c>
      <c r="E16" s="129">
        <v>43</v>
      </c>
      <c r="F16" s="129">
        <v>82</v>
      </c>
      <c r="G16" s="129">
        <v>56.5</v>
      </c>
      <c r="H16" s="129" t="s">
        <v>314</v>
      </c>
      <c r="I16" s="129">
        <v>16.5</v>
      </c>
      <c r="J16" s="129">
        <v>49.5</v>
      </c>
      <c r="K16" s="113">
        <v>500</v>
      </c>
      <c r="L16" s="43">
        <f t="shared" si="1"/>
        <v>314.5</v>
      </c>
      <c r="M16" s="116">
        <f t="shared" si="2"/>
        <v>0.629</v>
      </c>
      <c r="N16" s="134" t="str">
        <f t="shared" si="0"/>
        <v>Good</v>
      </c>
    </row>
    <row r="17" spans="1:14" ht="15.6">
      <c r="A17" s="70">
        <v>12</v>
      </c>
      <c r="B17" s="71" t="s">
        <v>24</v>
      </c>
      <c r="C17" s="71" t="s">
        <v>25</v>
      </c>
      <c r="D17" s="129">
        <v>98</v>
      </c>
      <c r="E17" s="129">
        <v>93</v>
      </c>
      <c r="F17" s="129">
        <v>89</v>
      </c>
      <c r="G17" s="129">
        <v>99</v>
      </c>
      <c r="H17" s="129" t="s">
        <v>314</v>
      </c>
      <c r="I17" s="129">
        <v>40</v>
      </c>
      <c r="J17" s="129">
        <v>38</v>
      </c>
      <c r="K17" s="113">
        <v>500</v>
      </c>
      <c r="L17" s="43">
        <f t="shared" si="1"/>
        <v>457</v>
      </c>
      <c r="M17" s="116">
        <f t="shared" si="2"/>
        <v>0.91400000000000003</v>
      </c>
      <c r="N17" s="134" t="str">
        <f t="shared" si="0"/>
        <v>Outstanding</v>
      </c>
    </row>
    <row r="18" spans="1:14" ht="15.6">
      <c r="A18" s="70">
        <v>13</v>
      </c>
      <c r="B18" s="71" t="s">
        <v>26</v>
      </c>
      <c r="C18" s="71" t="s">
        <v>27</v>
      </c>
      <c r="D18" s="129">
        <v>79</v>
      </c>
      <c r="E18" s="129">
        <v>91</v>
      </c>
      <c r="F18" s="129">
        <v>75</v>
      </c>
      <c r="G18" s="129">
        <v>92</v>
      </c>
      <c r="H18" s="129" t="s">
        <v>315</v>
      </c>
      <c r="I18" s="129">
        <v>34</v>
      </c>
      <c r="J18" s="129">
        <v>32</v>
      </c>
      <c r="K18" s="113">
        <v>500</v>
      </c>
      <c r="L18" s="43">
        <f t="shared" si="1"/>
        <v>403</v>
      </c>
      <c r="M18" s="116">
        <f t="shared" si="2"/>
        <v>0.80600000000000005</v>
      </c>
      <c r="N18" s="134" t="str">
        <f t="shared" si="0"/>
        <v>Excellent</v>
      </c>
    </row>
    <row r="19" spans="1:14" ht="15.6">
      <c r="A19" s="70">
        <v>14</v>
      </c>
      <c r="B19" s="137" t="s">
        <v>83</v>
      </c>
      <c r="C19" s="137" t="s">
        <v>84</v>
      </c>
      <c r="D19" s="129">
        <v>83.5</v>
      </c>
      <c r="E19" s="129">
        <v>91</v>
      </c>
      <c r="F19" s="129">
        <v>95</v>
      </c>
      <c r="G19" s="129">
        <v>87</v>
      </c>
      <c r="H19" s="129" t="s">
        <v>314</v>
      </c>
      <c r="I19" s="129">
        <v>46.5</v>
      </c>
      <c r="J19" s="129">
        <v>49</v>
      </c>
      <c r="K19" s="113">
        <v>500</v>
      </c>
      <c r="L19" s="43">
        <f t="shared" si="1"/>
        <v>452</v>
      </c>
      <c r="M19" s="116">
        <f t="shared" si="2"/>
        <v>0.90400000000000003</v>
      </c>
      <c r="N19" s="134" t="str">
        <f t="shared" si="0"/>
        <v>Outstanding</v>
      </c>
    </row>
    <row r="20" spans="1:14" ht="15.6">
      <c r="A20" s="70">
        <v>15</v>
      </c>
      <c r="B20" s="71" t="s">
        <v>30</v>
      </c>
      <c r="C20" s="71" t="s">
        <v>31</v>
      </c>
      <c r="D20" s="129">
        <v>65</v>
      </c>
      <c r="E20" s="129">
        <v>81</v>
      </c>
      <c r="F20" s="129">
        <v>60</v>
      </c>
      <c r="G20" s="129">
        <v>84</v>
      </c>
      <c r="H20" s="129">
        <v>60</v>
      </c>
      <c r="I20" s="129">
        <v>20</v>
      </c>
      <c r="J20" s="129">
        <v>22</v>
      </c>
      <c r="K20" s="113">
        <v>500</v>
      </c>
      <c r="L20" s="43">
        <f t="shared" si="1"/>
        <v>392</v>
      </c>
      <c r="M20" s="116">
        <f t="shared" si="2"/>
        <v>0.78400000000000003</v>
      </c>
      <c r="N20" s="134" t="str">
        <f t="shared" si="0"/>
        <v>Very Good</v>
      </c>
    </row>
    <row r="21" spans="1:14" ht="15.6">
      <c r="A21" s="70">
        <v>16</v>
      </c>
      <c r="B21" s="71" t="s">
        <v>32</v>
      </c>
      <c r="C21" s="71" t="s">
        <v>33</v>
      </c>
      <c r="D21" s="129">
        <v>96</v>
      </c>
      <c r="E21" s="129">
        <v>92</v>
      </c>
      <c r="F21" s="129">
        <v>85</v>
      </c>
      <c r="G21" s="129">
        <v>96</v>
      </c>
      <c r="H21" s="129" t="s">
        <v>315</v>
      </c>
      <c r="I21" s="129">
        <v>40</v>
      </c>
      <c r="J21" s="129">
        <v>38</v>
      </c>
      <c r="K21" s="113">
        <v>500</v>
      </c>
      <c r="L21" s="43">
        <f t="shared" si="1"/>
        <v>447</v>
      </c>
      <c r="M21" s="116">
        <f t="shared" si="2"/>
        <v>0.89400000000000002</v>
      </c>
      <c r="N21" s="134" t="str">
        <f t="shared" si="0"/>
        <v>Outstanding</v>
      </c>
    </row>
    <row r="22" spans="1:14" ht="15.6">
      <c r="A22" s="70">
        <v>17</v>
      </c>
      <c r="B22" s="71" t="s">
        <v>305</v>
      </c>
      <c r="C22" s="71" t="s">
        <v>34</v>
      </c>
      <c r="D22" s="129">
        <v>97</v>
      </c>
      <c r="E22" s="129">
        <v>92</v>
      </c>
      <c r="F22" s="129">
        <v>63</v>
      </c>
      <c r="G22" s="129">
        <v>89</v>
      </c>
      <c r="H22" s="129" t="s">
        <v>315</v>
      </c>
      <c r="I22" s="129">
        <v>42</v>
      </c>
      <c r="J22" s="129">
        <v>40</v>
      </c>
      <c r="K22" s="113">
        <v>500</v>
      </c>
      <c r="L22" s="43">
        <f t="shared" si="1"/>
        <v>423</v>
      </c>
      <c r="M22" s="116">
        <f t="shared" si="2"/>
        <v>0.84599999999999997</v>
      </c>
      <c r="N22" s="134" t="str">
        <f t="shared" si="0"/>
        <v>Excellent</v>
      </c>
    </row>
    <row r="23" spans="1:14" ht="15.6">
      <c r="A23" s="70">
        <v>18</v>
      </c>
      <c r="B23" s="71" t="s">
        <v>306</v>
      </c>
      <c r="C23" s="71" t="s">
        <v>37</v>
      </c>
      <c r="D23" s="129">
        <v>57</v>
      </c>
      <c r="E23" s="129">
        <v>80</v>
      </c>
      <c r="F23" s="129">
        <v>65</v>
      </c>
      <c r="G23" s="129">
        <v>86</v>
      </c>
      <c r="H23" s="129" t="s">
        <v>315</v>
      </c>
      <c r="I23" s="129">
        <v>20</v>
      </c>
      <c r="J23" s="129">
        <v>20</v>
      </c>
      <c r="K23" s="113">
        <v>500</v>
      </c>
      <c r="L23" s="43">
        <f t="shared" si="1"/>
        <v>328</v>
      </c>
      <c r="M23" s="116">
        <f t="shared" si="2"/>
        <v>0.65600000000000003</v>
      </c>
      <c r="N23" s="134" t="str">
        <f t="shared" si="0"/>
        <v>Good</v>
      </c>
    </row>
    <row r="24" spans="1:14" ht="15.6">
      <c r="A24" s="70">
        <v>19</v>
      </c>
      <c r="B24" s="71" t="s">
        <v>307</v>
      </c>
      <c r="C24" s="71" t="s">
        <v>35</v>
      </c>
      <c r="D24" s="129">
        <v>77</v>
      </c>
      <c r="E24" s="129">
        <v>79</v>
      </c>
      <c r="F24" s="129">
        <v>69</v>
      </c>
      <c r="G24" s="129">
        <v>88</v>
      </c>
      <c r="H24" s="129" t="s">
        <v>315</v>
      </c>
      <c r="I24" s="129">
        <v>22</v>
      </c>
      <c r="J24" s="129">
        <v>23</v>
      </c>
      <c r="K24" s="113">
        <v>500</v>
      </c>
      <c r="L24" s="43">
        <f t="shared" si="1"/>
        <v>358</v>
      </c>
      <c r="M24" s="116">
        <f t="shared" si="2"/>
        <v>0.71599999999999997</v>
      </c>
      <c r="N24" s="134" t="str">
        <f t="shared" si="0"/>
        <v>Very Good</v>
      </c>
    </row>
    <row r="25" spans="1:14" ht="15.6">
      <c r="A25" s="70">
        <v>20</v>
      </c>
      <c r="B25" s="71" t="s">
        <v>308</v>
      </c>
      <c r="C25" s="71" t="s">
        <v>36</v>
      </c>
      <c r="D25" s="129">
        <v>88</v>
      </c>
      <c r="E25" s="129">
        <v>89</v>
      </c>
      <c r="F25" s="129">
        <v>65</v>
      </c>
      <c r="G25" s="129">
        <v>88</v>
      </c>
      <c r="H25" s="129" t="s">
        <v>315</v>
      </c>
      <c r="I25" s="129">
        <v>30</v>
      </c>
      <c r="J25" s="129">
        <v>31</v>
      </c>
      <c r="K25" s="113">
        <v>500</v>
      </c>
      <c r="L25" s="43">
        <f t="shared" si="1"/>
        <v>391</v>
      </c>
      <c r="M25" s="116">
        <f t="shared" si="2"/>
        <v>0.78200000000000003</v>
      </c>
      <c r="N25" s="134" t="str">
        <f t="shared" si="0"/>
        <v>Very Good</v>
      </c>
    </row>
    <row r="26" spans="1:14" ht="16.2" thickBot="1">
      <c r="A26" s="72">
        <v>21</v>
      </c>
      <c r="B26" s="73" t="s">
        <v>38</v>
      </c>
      <c r="C26" s="73" t="s">
        <v>39</v>
      </c>
      <c r="D26" s="140">
        <v>88</v>
      </c>
      <c r="E26" s="140">
        <v>87</v>
      </c>
      <c r="F26" s="140">
        <v>75</v>
      </c>
      <c r="G26" s="140">
        <v>91</v>
      </c>
      <c r="H26" s="140" t="s">
        <v>315</v>
      </c>
      <c r="I26" s="140">
        <v>24</v>
      </c>
      <c r="J26" s="140">
        <v>20</v>
      </c>
      <c r="K26" s="114">
        <v>500</v>
      </c>
      <c r="L26" s="46">
        <f t="shared" si="1"/>
        <v>385</v>
      </c>
      <c r="M26" s="117">
        <f t="shared" si="2"/>
        <v>0.77</v>
      </c>
      <c r="N26" s="88" t="str">
        <f t="shared" si="0"/>
        <v>Very Good</v>
      </c>
    </row>
    <row r="27" spans="1:14" ht="14.4" customHeight="1">
      <c r="A27" s="173" t="s">
        <v>40</v>
      </c>
      <c r="B27" s="174"/>
      <c r="C27" s="174"/>
      <c r="K27" s="173" t="s">
        <v>113</v>
      </c>
      <c r="L27" s="174"/>
      <c r="M27" s="174"/>
    </row>
    <row r="28" spans="1:14" ht="52.95" customHeight="1" thickBot="1">
      <c r="A28" s="174"/>
      <c r="B28" s="174"/>
      <c r="C28" s="174"/>
      <c r="K28" s="174"/>
      <c r="L28" s="174"/>
      <c r="M28" s="174"/>
    </row>
    <row r="29" spans="1:14" ht="18.600000000000001" thickBot="1">
      <c r="B29" s="2" t="s">
        <v>45</v>
      </c>
      <c r="C29" s="3" t="s">
        <v>46</v>
      </c>
      <c r="D29" s="3" t="s">
        <v>7</v>
      </c>
      <c r="E29" s="3" t="s">
        <v>56</v>
      </c>
      <c r="F29" s="3" t="s">
        <v>8</v>
      </c>
      <c r="G29" s="3" t="s">
        <v>57</v>
      </c>
      <c r="H29" s="26" t="s">
        <v>85</v>
      </c>
      <c r="I29" s="26" t="s">
        <v>59</v>
      </c>
      <c r="L29" s="147" t="s">
        <v>114</v>
      </c>
      <c r="M29" s="148"/>
    </row>
    <row r="30" spans="1:14" ht="18">
      <c r="B30" s="23" t="s">
        <v>48</v>
      </c>
      <c r="C30" s="64">
        <f>21-C32</f>
        <v>20</v>
      </c>
      <c r="D30" s="64">
        <f t="shared" ref="D30:I30" si="3">21-D32</f>
        <v>19</v>
      </c>
      <c r="E30" s="64">
        <f t="shared" si="3"/>
        <v>21</v>
      </c>
      <c r="F30" s="64">
        <f t="shared" si="3"/>
        <v>20</v>
      </c>
      <c r="G30" s="64">
        <f t="shared" si="3"/>
        <v>21</v>
      </c>
      <c r="H30" s="64">
        <f t="shared" si="3"/>
        <v>18</v>
      </c>
      <c r="I30" s="65">
        <f t="shared" si="3"/>
        <v>21</v>
      </c>
      <c r="L30" s="48" t="s">
        <v>43</v>
      </c>
      <c r="M30" s="20">
        <v>21</v>
      </c>
    </row>
    <row r="31" spans="1:14" ht="18">
      <c r="B31" s="10" t="s">
        <v>50</v>
      </c>
      <c r="C31" s="11">
        <f>C30/21</f>
        <v>0.95238095238095233</v>
      </c>
      <c r="D31" s="11">
        <f t="shared" ref="D31:I31" si="4">D30/21</f>
        <v>0.90476190476190477</v>
      </c>
      <c r="E31" s="11">
        <f t="shared" si="4"/>
        <v>1</v>
      </c>
      <c r="F31" s="11">
        <f t="shared" si="4"/>
        <v>0.95238095238095233</v>
      </c>
      <c r="G31" s="11">
        <f t="shared" si="4"/>
        <v>1</v>
      </c>
      <c r="H31" s="11">
        <f t="shared" si="4"/>
        <v>0.8571428571428571</v>
      </c>
      <c r="I31" s="28">
        <f t="shared" si="4"/>
        <v>1</v>
      </c>
      <c r="L31" s="49" t="s">
        <v>44</v>
      </c>
      <c r="M31" s="20">
        <v>21</v>
      </c>
    </row>
    <row r="32" spans="1:14" ht="18">
      <c r="B32" s="10" t="s">
        <v>52</v>
      </c>
      <c r="C32" s="61">
        <v>1</v>
      </c>
      <c r="D32" s="61">
        <v>2</v>
      </c>
      <c r="E32" s="61">
        <v>0</v>
      </c>
      <c r="F32" s="61">
        <v>1</v>
      </c>
      <c r="G32" s="61">
        <v>0</v>
      </c>
      <c r="H32" s="61">
        <v>3</v>
      </c>
      <c r="I32" s="66">
        <v>0</v>
      </c>
      <c r="L32" s="49" t="s">
        <v>47</v>
      </c>
      <c r="M32" s="20">
        <v>20</v>
      </c>
    </row>
    <row r="33" spans="2:13" ht="18.600000000000001" thickBot="1">
      <c r="B33" s="14" t="s">
        <v>54</v>
      </c>
      <c r="C33" s="15">
        <f t="shared" ref="C33:I33" si="5">100%-C31</f>
        <v>4.7619047619047672E-2</v>
      </c>
      <c r="D33" s="15">
        <f t="shared" si="5"/>
        <v>9.5238095238095233E-2</v>
      </c>
      <c r="E33" s="15">
        <f t="shared" si="5"/>
        <v>0</v>
      </c>
      <c r="F33" s="15">
        <f t="shared" si="5"/>
        <v>4.7619047619047672E-2</v>
      </c>
      <c r="G33" s="15">
        <f t="shared" si="5"/>
        <v>0</v>
      </c>
      <c r="H33" s="15">
        <f t="shared" si="5"/>
        <v>0.1428571428571429</v>
      </c>
      <c r="I33" s="30">
        <f t="shared" si="5"/>
        <v>0</v>
      </c>
      <c r="L33" s="49" t="s">
        <v>49</v>
      </c>
      <c r="M33" s="21">
        <f>M32/M31</f>
        <v>0.95238095238095233</v>
      </c>
    </row>
    <row r="34" spans="2:13" ht="18">
      <c r="L34" s="49" t="s">
        <v>51</v>
      </c>
      <c r="M34" s="20">
        <f>M31-M32</f>
        <v>1</v>
      </c>
    </row>
    <row r="35" spans="2:13" ht="18.600000000000001" thickBot="1">
      <c r="C35" s="18"/>
      <c r="D35" s="18"/>
      <c r="E35" s="18"/>
      <c r="F35" s="18"/>
      <c r="G35" s="18"/>
      <c r="H35" s="18"/>
      <c r="I35" s="18"/>
      <c r="J35" s="31"/>
      <c r="L35" s="50" t="s">
        <v>53</v>
      </c>
      <c r="M35" s="22">
        <f>M34/M31</f>
        <v>4.7619047619047616E-2</v>
      </c>
    </row>
    <row r="36" spans="2:13" ht="18">
      <c r="E36" s="19"/>
    </row>
    <row r="37" spans="2:13" ht="18">
      <c r="E37" s="19"/>
    </row>
    <row r="38" spans="2:13" ht="18">
      <c r="E38" s="19"/>
    </row>
    <row r="39" spans="2:13" ht="18">
      <c r="E39" s="19"/>
    </row>
    <row r="40" spans="2:13" ht="18">
      <c r="E40" s="19"/>
    </row>
    <row r="41" spans="2:13" ht="18">
      <c r="E41" s="19"/>
    </row>
    <row r="42" spans="2:13" ht="18">
      <c r="E42" s="19"/>
    </row>
  </sheetData>
  <sortState xmlns:xlrd2="http://schemas.microsoft.com/office/spreadsheetml/2017/richdata2" ref="A1:N35">
    <sortCondition ref="B11:B26"/>
  </sortState>
  <mergeCells count="14">
    <mergeCell ref="A1:N1"/>
    <mergeCell ref="A2:N2"/>
    <mergeCell ref="A3:C3"/>
    <mergeCell ref="D3:J3"/>
    <mergeCell ref="K3:N3"/>
    <mergeCell ref="N4:N5"/>
    <mergeCell ref="A27:C28"/>
    <mergeCell ref="K27:M28"/>
    <mergeCell ref="L29:M29"/>
    <mergeCell ref="A4:A5"/>
    <mergeCell ref="B4:B5"/>
    <mergeCell ref="C4:C5"/>
    <mergeCell ref="L4:L5"/>
    <mergeCell ref="M4:M5"/>
  </mergeCells>
  <phoneticPr fontId="19" type="noConversion"/>
  <conditionalFormatting sqref="C31:I31">
    <cfRule type="cellIs" dxfId="98" priority="100" operator="lessThan">
      <formula>0.5</formula>
    </cfRule>
  </conditionalFormatting>
  <conditionalFormatting sqref="D6:G26">
    <cfRule type="cellIs" dxfId="97" priority="2" operator="lessThan">
      <formula>40</formula>
    </cfRule>
  </conditionalFormatting>
  <conditionalFormatting sqref="D17:G18">
    <cfRule type="cellIs" dxfId="96" priority="6" operator="lessThan">
      <formula>20</formula>
    </cfRule>
  </conditionalFormatting>
  <conditionalFormatting sqref="D6:H7">
    <cfRule type="cellIs" dxfId="95" priority="12" operator="lessThan">
      <formula>20</formula>
    </cfRule>
  </conditionalFormatting>
  <conditionalFormatting sqref="D12:H13">
    <cfRule type="cellIs" dxfId="94" priority="8" operator="lessThan">
      <formula>20</formula>
    </cfRule>
  </conditionalFormatting>
  <conditionalFormatting sqref="D20:H26">
    <cfRule type="cellIs" dxfId="93" priority="3" operator="lessThan">
      <formula>20</formula>
    </cfRule>
  </conditionalFormatting>
  <conditionalFormatting sqref="H6:H7">
    <cfRule type="cellIs" dxfId="92" priority="74" operator="lessThan">
      <formula>40</formula>
    </cfRule>
  </conditionalFormatting>
  <conditionalFormatting sqref="H12:H13">
    <cfRule type="cellIs" dxfId="91" priority="70" operator="lessThan">
      <formula>40</formula>
    </cfRule>
  </conditionalFormatting>
  <conditionalFormatting sqref="H18">
    <cfRule type="cellIs" dxfId="90" priority="68" operator="lessThan">
      <formula>40</formula>
    </cfRule>
    <cfRule type="cellIs" dxfId="89" priority="69" operator="lessThan">
      <formula>20</formula>
    </cfRule>
  </conditionalFormatting>
  <conditionalFormatting sqref="H20:H26">
    <cfRule type="cellIs" dxfId="88" priority="65" operator="lessThan">
      <formula>40</formula>
    </cfRule>
  </conditionalFormatting>
  <conditionalFormatting sqref="H8:J11">
    <cfRule type="cellIs" dxfId="87" priority="86" operator="lessThan">
      <formula>20</formula>
    </cfRule>
  </conditionalFormatting>
  <conditionalFormatting sqref="H14:J16 H17">
    <cfRule type="cellIs" dxfId="86" priority="80" operator="lessThan">
      <formula>20</formula>
    </cfRule>
  </conditionalFormatting>
  <conditionalFormatting sqref="H19:J19 I20:J26">
    <cfRule type="cellIs" dxfId="85" priority="78" operator="lessThan">
      <formula>20</formula>
    </cfRule>
  </conditionalFormatting>
  <conditionalFormatting sqref="I6:J7">
    <cfRule type="cellIs" dxfId="84" priority="93" operator="lessThan">
      <formula>20</formula>
    </cfRule>
  </conditionalFormatting>
  <conditionalFormatting sqref="I12:J13">
    <cfRule type="cellIs" dxfId="83" priority="84" operator="lessThan">
      <formula>20</formula>
    </cfRule>
  </conditionalFormatting>
  <conditionalFormatting sqref="I17:J18">
    <cfRule type="cellIs" dxfId="82" priority="1" operator="lessThan">
      <formula>20</formula>
    </cfRule>
  </conditionalFormatting>
  <conditionalFormatting sqref="K6:K26">
    <cfRule type="cellIs" dxfId="81" priority="108" operator="lessThan">
      <formula>10</formula>
    </cfRule>
  </conditionalFormatting>
  <conditionalFormatting sqref="L6:L26">
    <cfRule type="cellIs" dxfId="80" priority="103" operator="lessThan">
      <formula>80</formula>
    </cfRule>
  </conditionalFormatting>
  <conditionalFormatting sqref="M6:M26">
    <cfRule type="cellIs" dxfId="79" priority="104" operator="lessThan">
      <formula>0.4</formula>
    </cfRule>
  </conditionalFormatting>
  <printOptions horizontalCentered="1"/>
  <pageMargins left="0.2" right="0.2" top="0.25" bottom="0.25" header="0.3" footer="0.3"/>
  <pageSetup paperSize="9" scale="81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zoomScale="70" zoomScaleNormal="70" workbookViewId="0">
      <selection activeCell="L25" sqref="L25"/>
    </sheetView>
  </sheetViews>
  <sheetFormatPr defaultColWidth="9" defaultRowHeight="14.4"/>
  <cols>
    <col min="1" max="1" width="15.6640625" customWidth="1"/>
    <col min="2" max="2" width="16.33203125" customWidth="1"/>
    <col min="3" max="3" width="21.88671875" customWidth="1"/>
    <col min="10" max="10" width="10" customWidth="1"/>
    <col min="11" max="11" width="9" customWidth="1"/>
    <col min="12" max="12" width="19.109375" customWidth="1"/>
    <col min="13" max="13" width="9.88671875" customWidth="1"/>
    <col min="14" max="14" width="23" customWidth="1"/>
  </cols>
  <sheetData>
    <row r="1" spans="1:14" ht="24.6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2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115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79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57" t="s">
        <v>13</v>
      </c>
    </row>
    <row r="5" spans="1:14" ht="15.6">
      <c r="A5" s="178"/>
      <c r="B5" s="179"/>
      <c r="C5" s="180"/>
      <c r="D5" s="115">
        <v>100</v>
      </c>
      <c r="E5" s="115">
        <v>100</v>
      </c>
      <c r="F5" s="115">
        <v>100</v>
      </c>
      <c r="G5" s="115">
        <v>100</v>
      </c>
      <c r="H5" s="115" t="s">
        <v>317</v>
      </c>
      <c r="I5" s="115">
        <v>50</v>
      </c>
      <c r="J5" s="115">
        <v>50</v>
      </c>
      <c r="K5" s="81">
        <f>SUM(D5:J5)</f>
        <v>500</v>
      </c>
      <c r="L5" s="181"/>
      <c r="M5" s="182"/>
      <c r="N5" s="177"/>
    </row>
    <row r="6" spans="1:14" ht="15.6">
      <c r="A6" s="89">
        <v>1</v>
      </c>
      <c r="B6" s="125" t="s">
        <v>118</v>
      </c>
      <c r="C6" s="125" t="s">
        <v>119</v>
      </c>
      <c r="D6" s="108">
        <v>71</v>
      </c>
      <c r="E6" s="108">
        <v>86</v>
      </c>
      <c r="F6" s="108">
        <v>82</v>
      </c>
      <c r="G6" s="108">
        <v>85</v>
      </c>
      <c r="H6" s="108" t="s">
        <v>314</v>
      </c>
      <c r="I6" s="108">
        <v>42.5</v>
      </c>
      <c r="J6" s="108">
        <v>45</v>
      </c>
      <c r="K6" s="78">
        <v>500</v>
      </c>
      <c r="L6" s="39">
        <f>SUM(D6:J6)</f>
        <v>411.5</v>
      </c>
      <c r="M6" s="116">
        <f>L6/K6</f>
        <v>0.82299999999999995</v>
      </c>
      <c r="N6" s="134" t="str">
        <f t="shared" ref="N6:N37" si="0">IF(M6&gt;=85%,"Outstanding",IF(M6&gt;=80%,"Excellent",IF(M6&gt;=70%,"Very Good",IF(M6&gt;=60%,"Good",IF(M6&gt;=50%,"Satisfactory",IF(M6&gt;=40%,"Fair","Needs Attention"))))))</f>
        <v>Excellent</v>
      </c>
    </row>
    <row r="7" spans="1:14" ht="15.6">
      <c r="A7" s="82">
        <v>2</v>
      </c>
      <c r="B7" s="135" t="s">
        <v>94</v>
      </c>
      <c r="C7" s="135" t="s">
        <v>95</v>
      </c>
      <c r="D7" s="108">
        <v>89.5</v>
      </c>
      <c r="E7" s="108">
        <v>61</v>
      </c>
      <c r="F7" s="108">
        <v>68</v>
      </c>
      <c r="G7" s="108">
        <v>95</v>
      </c>
      <c r="H7" s="108" t="s">
        <v>315</v>
      </c>
      <c r="I7" s="108">
        <v>39</v>
      </c>
      <c r="J7" s="108">
        <v>50</v>
      </c>
      <c r="K7" s="78">
        <v>500</v>
      </c>
      <c r="L7" s="39">
        <f>SUM(D7:J7)</f>
        <v>402.5</v>
      </c>
      <c r="M7" s="116">
        <f t="shared" ref="M7:M37" si="1">L7/K7</f>
        <v>0.80500000000000005</v>
      </c>
      <c r="N7" s="134" t="str">
        <f t="shared" si="0"/>
        <v>Excellent</v>
      </c>
    </row>
    <row r="8" spans="1:14" ht="15.6">
      <c r="A8" s="89">
        <v>3</v>
      </c>
      <c r="B8" s="135" t="s">
        <v>96</v>
      </c>
      <c r="C8" s="135" t="s">
        <v>97</v>
      </c>
      <c r="D8" s="108">
        <v>84</v>
      </c>
      <c r="E8" s="108">
        <v>64</v>
      </c>
      <c r="F8" s="108">
        <v>88</v>
      </c>
      <c r="G8" s="108">
        <v>96</v>
      </c>
      <c r="H8" s="108" t="s">
        <v>315</v>
      </c>
      <c r="I8" s="108">
        <v>50</v>
      </c>
      <c r="J8" s="108">
        <v>49.5</v>
      </c>
      <c r="K8" s="78">
        <v>500</v>
      </c>
      <c r="L8" s="39">
        <f t="shared" ref="L8:L37" si="2">SUM(D8:J8)</f>
        <v>431.5</v>
      </c>
      <c r="M8" s="116">
        <f t="shared" si="1"/>
        <v>0.86299999999999999</v>
      </c>
      <c r="N8" s="134" t="str">
        <f t="shared" si="0"/>
        <v>Outstanding</v>
      </c>
    </row>
    <row r="9" spans="1:14" ht="15.6">
      <c r="A9" s="82">
        <v>4</v>
      </c>
      <c r="B9" s="125" t="s">
        <v>60</v>
      </c>
      <c r="C9" s="125" t="s">
        <v>61</v>
      </c>
      <c r="D9" s="108">
        <v>46.5</v>
      </c>
      <c r="E9" s="108">
        <v>40.5</v>
      </c>
      <c r="F9" s="108">
        <v>44</v>
      </c>
      <c r="G9" s="108">
        <v>82</v>
      </c>
      <c r="H9" s="108" t="s">
        <v>315</v>
      </c>
      <c r="I9" s="108">
        <v>12</v>
      </c>
      <c r="J9" s="108">
        <v>30</v>
      </c>
      <c r="K9" s="78">
        <v>500</v>
      </c>
      <c r="L9" s="39">
        <f t="shared" si="2"/>
        <v>255</v>
      </c>
      <c r="M9" s="116">
        <f t="shared" si="1"/>
        <v>0.51</v>
      </c>
      <c r="N9" s="134" t="str">
        <f t="shared" si="0"/>
        <v>Satisfactory</v>
      </c>
    </row>
    <row r="10" spans="1:14" ht="15.6">
      <c r="A10" s="89">
        <v>5</v>
      </c>
      <c r="B10" s="135" t="s">
        <v>98</v>
      </c>
      <c r="C10" s="135" t="s">
        <v>99</v>
      </c>
      <c r="D10" s="108">
        <v>23.5</v>
      </c>
      <c r="E10" s="108">
        <v>14.5</v>
      </c>
      <c r="F10" s="108">
        <v>21</v>
      </c>
      <c r="G10" s="108">
        <v>54</v>
      </c>
      <c r="H10" s="108" t="s">
        <v>314</v>
      </c>
      <c r="I10" s="108">
        <v>12</v>
      </c>
      <c r="J10" s="108">
        <v>22.5</v>
      </c>
      <c r="K10" s="78">
        <v>500</v>
      </c>
      <c r="L10" s="39">
        <f t="shared" si="2"/>
        <v>147.5</v>
      </c>
      <c r="M10" s="116">
        <f t="shared" si="1"/>
        <v>0.29499999999999998</v>
      </c>
      <c r="N10" s="134" t="str">
        <f t="shared" si="0"/>
        <v>Needs Attention</v>
      </c>
    </row>
    <row r="11" spans="1:14" ht="15.6">
      <c r="A11" s="82">
        <v>6</v>
      </c>
      <c r="B11" s="125" t="s">
        <v>128</v>
      </c>
      <c r="C11" s="125" t="s">
        <v>129</v>
      </c>
      <c r="D11" s="108">
        <v>86.5</v>
      </c>
      <c r="E11" s="108">
        <v>97.5</v>
      </c>
      <c r="F11" s="108">
        <v>87.5</v>
      </c>
      <c r="G11" s="108">
        <v>88.5</v>
      </c>
      <c r="H11" s="108" t="s">
        <v>314</v>
      </c>
      <c r="I11" s="108">
        <v>45</v>
      </c>
      <c r="J11" s="108">
        <v>49</v>
      </c>
      <c r="K11" s="78">
        <v>500</v>
      </c>
      <c r="L11" s="39">
        <f t="shared" si="2"/>
        <v>454</v>
      </c>
      <c r="M11" s="116">
        <f t="shared" si="1"/>
        <v>0.90800000000000003</v>
      </c>
      <c r="N11" s="134" t="str">
        <f t="shared" si="0"/>
        <v>Outstanding</v>
      </c>
    </row>
    <row r="12" spans="1:14" ht="15.6">
      <c r="A12" s="89">
        <v>7</v>
      </c>
      <c r="B12" s="125" t="s">
        <v>130</v>
      </c>
      <c r="C12" s="125" t="s">
        <v>131</v>
      </c>
      <c r="D12" s="108">
        <v>42</v>
      </c>
      <c r="E12" s="108">
        <v>57.5</v>
      </c>
      <c r="F12" s="108">
        <v>52</v>
      </c>
      <c r="G12" s="108">
        <v>41.5</v>
      </c>
      <c r="H12" s="108" t="s">
        <v>315</v>
      </c>
      <c r="I12" s="108">
        <v>24</v>
      </c>
      <c r="J12" s="108">
        <v>27</v>
      </c>
      <c r="K12" s="78">
        <v>500</v>
      </c>
      <c r="L12" s="39">
        <f t="shared" si="2"/>
        <v>244</v>
      </c>
      <c r="M12" s="116">
        <f t="shared" si="1"/>
        <v>0.48799999999999999</v>
      </c>
      <c r="N12" s="134" t="str">
        <f t="shared" si="0"/>
        <v>Fair</v>
      </c>
    </row>
    <row r="13" spans="1:14" ht="15.6">
      <c r="A13" s="82">
        <v>8</v>
      </c>
      <c r="B13" s="135" t="s">
        <v>100</v>
      </c>
      <c r="C13" s="135" t="s">
        <v>335</v>
      </c>
      <c r="D13" s="108">
        <v>92.5</v>
      </c>
      <c r="E13" s="108">
        <v>93</v>
      </c>
      <c r="F13" s="108">
        <v>96</v>
      </c>
      <c r="G13" s="108">
        <v>96</v>
      </c>
      <c r="H13" s="108" t="s">
        <v>314</v>
      </c>
      <c r="I13" s="108">
        <v>50</v>
      </c>
      <c r="J13" s="108">
        <v>50</v>
      </c>
      <c r="K13" s="78">
        <v>500</v>
      </c>
      <c r="L13" s="39">
        <f t="shared" si="2"/>
        <v>477.5</v>
      </c>
      <c r="M13" s="116">
        <f t="shared" si="1"/>
        <v>0.95499999999999996</v>
      </c>
      <c r="N13" s="134" t="str">
        <f t="shared" si="0"/>
        <v>Outstanding</v>
      </c>
    </row>
    <row r="14" spans="1:14" ht="15.6">
      <c r="A14" s="89">
        <v>9</v>
      </c>
      <c r="B14" s="125" t="s">
        <v>136</v>
      </c>
      <c r="C14" s="125" t="s">
        <v>137</v>
      </c>
      <c r="D14" s="108">
        <v>62.5</v>
      </c>
      <c r="E14" s="108">
        <v>93.5</v>
      </c>
      <c r="F14" s="108">
        <v>86</v>
      </c>
      <c r="G14" s="108">
        <v>69</v>
      </c>
      <c r="H14" s="108" t="s">
        <v>314</v>
      </c>
      <c r="I14" s="108">
        <v>44.5</v>
      </c>
      <c r="J14" s="108">
        <v>39</v>
      </c>
      <c r="K14" s="78">
        <v>500</v>
      </c>
      <c r="L14" s="39">
        <f t="shared" si="2"/>
        <v>394.5</v>
      </c>
      <c r="M14" s="116">
        <f t="shared" si="1"/>
        <v>0.78900000000000003</v>
      </c>
      <c r="N14" s="134" t="str">
        <f t="shared" si="0"/>
        <v>Very Good</v>
      </c>
    </row>
    <row r="15" spans="1:14" ht="15.6">
      <c r="A15" s="82">
        <v>10</v>
      </c>
      <c r="B15" s="125" t="s">
        <v>138</v>
      </c>
      <c r="C15" s="125" t="s">
        <v>139</v>
      </c>
      <c r="D15" s="108">
        <v>76.5</v>
      </c>
      <c r="E15" s="108">
        <v>90.5</v>
      </c>
      <c r="F15" s="108">
        <v>92</v>
      </c>
      <c r="G15" s="108">
        <v>85.5</v>
      </c>
      <c r="H15" s="108" t="s">
        <v>314</v>
      </c>
      <c r="I15" s="108">
        <v>49</v>
      </c>
      <c r="J15" s="108">
        <v>40</v>
      </c>
      <c r="K15" s="78">
        <v>500</v>
      </c>
      <c r="L15" s="39">
        <f t="shared" si="2"/>
        <v>433.5</v>
      </c>
      <c r="M15" s="116">
        <f t="shared" si="1"/>
        <v>0.86699999999999999</v>
      </c>
      <c r="N15" s="134" t="str">
        <f t="shared" si="0"/>
        <v>Outstanding</v>
      </c>
    </row>
    <row r="16" spans="1:14" ht="15.6">
      <c r="A16" s="89">
        <v>11</v>
      </c>
      <c r="B16" s="112" t="s">
        <v>101</v>
      </c>
      <c r="C16" s="86" t="s">
        <v>102</v>
      </c>
      <c r="D16" s="108">
        <v>42</v>
      </c>
      <c r="E16" s="108">
        <v>44.5</v>
      </c>
      <c r="F16" s="108">
        <v>64</v>
      </c>
      <c r="G16" s="108">
        <v>79</v>
      </c>
      <c r="H16" s="108" t="s">
        <v>315</v>
      </c>
      <c r="I16" s="108">
        <v>25</v>
      </c>
      <c r="J16" s="108">
        <v>39.5</v>
      </c>
      <c r="K16" s="78">
        <v>500</v>
      </c>
      <c r="L16" s="39">
        <f t="shared" si="2"/>
        <v>294</v>
      </c>
      <c r="M16" s="116">
        <f t="shared" si="1"/>
        <v>0.58799999999999997</v>
      </c>
      <c r="N16" s="134" t="str">
        <f t="shared" si="0"/>
        <v>Satisfactory</v>
      </c>
    </row>
    <row r="17" spans="1:14" ht="15.6">
      <c r="A17" s="82">
        <v>12</v>
      </c>
      <c r="B17" s="125" t="s">
        <v>140</v>
      </c>
      <c r="C17" s="125" t="s">
        <v>141</v>
      </c>
      <c r="D17" s="108">
        <v>43</v>
      </c>
      <c r="E17" s="108">
        <v>65.5</v>
      </c>
      <c r="F17" s="108">
        <v>48</v>
      </c>
      <c r="G17" s="108">
        <v>70.5</v>
      </c>
      <c r="H17" s="108" t="s">
        <v>315</v>
      </c>
      <c r="I17" s="108">
        <v>22</v>
      </c>
      <c r="J17" s="108">
        <v>31</v>
      </c>
      <c r="K17" s="78">
        <v>500</v>
      </c>
      <c r="L17" s="39">
        <f t="shared" si="2"/>
        <v>280</v>
      </c>
      <c r="M17" s="116">
        <f t="shared" si="1"/>
        <v>0.56000000000000005</v>
      </c>
      <c r="N17" s="134" t="str">
        <f t="shared" si="0"/>
        <v>Satisfactory</v>
      </c>
    </row>
    <row r="18" spans="1:14" ht="15.6">
      <c r="A18" s="89">
        <v>13</v>
      </c>
      <c r="B18" s="135" t="s">
        <v>103</v>
      </c>
      <c r="C18" s="135" t="s">
        <v>17</v>
      </c>
      <c r="D18" s="108">
        <v>22</v>
      </c>
      <c r="E18" s="108">
        <v>11</v>
      </c>
      <c r="F18" s="108">
        <v>29</v>
      </c>
      <c r="G18" s="108">
        <v>55</v>
      </c>
      <c r="H18" s="108" t="s">
        <v>316</v>
      </c>
      <c r="I18" s="108">
        <v>15</v>
      </c>
      <c r="J18" s="108">
        <v>36.5</v>
      </c>
      <c r="K18" s="78">
        <v>500</v>
      </c>
      <c r="L18" s="39">
        <f t="shared" si="2"/>
        <v>168.5</v>
      </c>
      <c r="M18" s="116">
        <f t="shared" si="1"/>
        <v>0.33700000000000002</v>
      </c>
      <c r="N18" s="134" t="str">
        <f t="shared" si="0"/>
        <v>Needs Attention</v>
      </c>
    </row>
    <row r="19" spans="1:14" ht="15.6">
      <c r="A19" s="82">
        <v>14</v>
      </c>
      <c r="B19" s="125" t="s">
        <v>143</v>
      </c>
      <c r="C19" s="125" t="s">
        <v>144</v>
      </c>
      <c r="D19" s="108">
        <v>49.5</v>
      </c>
      <c r="E19" s="108">
        <v>68.5</v>
      </c>
      <c r="F19" s="108">
        <v>66</v>
      </c>
      <c r="G19" s="108">
        <v>55.5</v>
      </c>
      <c r="H19" s="108" t="s">
        <v>315</v>
      </c>
      <c r="I19" s="108">
        <v>40</v>
      </c>
      <c r="J19" s="108">
        <v>44</v>
      </c>
      <c r="K19" s="78">
        <v>500</v>
      </c>
      <c r="L19" s="39">
        <f t="shared" si="2"/>
        <v>323.5</v>
      </c>
      <c r="M19" s="116">
        <f t="shared" si="1"/>
        <v>0.64700000000000002</v>
      </c>
      <c r="N19" s="134" t="str">
        <f t="shared" si="0"/>
        <v>Good</v>
      </c>
    </row>
    <row r="20" spans="1:14" ht="15.6">
      <c r="A20" s="89">
        <v>15</v>
      </c>
      <c r="B20" s="135" t="s">
        <v>104</v>
      </c>
      <c r="C20" s="135" t="s">
        <v>105</v>
      </c>
      <c r="D20" s="108">
        <v>79.5</v>
      </c>
      <c r="E20" s="108">
        <v>47</v>
      </c>
      <c r="F20" s="108">
        <v>81</v>
      </c>
      <c r="G20" s="108">
        <v>78.5</v>
      </c>
      <c r="H20" s="108" t="s">
        <v>315</v>
      </c>
      <c r="I20" s="108">
        <v>38.5</v>
      </c>
      <c r="J20" s="108">
        <v>0</v>
      </c>
      <c r="K20" s="78">
        <v>500</v>
      </c>
      <c r="L20" s="39">
        <f t="shared" si="2"/>
        <v>324.5</v>
      </c>
      <c r="M20" s="116">
        <f t="shared" si="1"/>
        <v>0.64900000000000002</v>
      </c>
      <c r="N20" s="134" t="str">
        <f t="shared" si="0"/>
        <v>Good</v>
      </c>
    </row>
    <row r="21" spans="1:14" ht="15.6">
      <c r="A21" s="82">
        <v>16</v>
      </c>
      <c r="B21" s="135" t="s">
        <v>106</v>
      </c>
      <c r="C21" s="125" t="s">
        <v>107</v>
      </c>
      <c r="D21" s="108">
        <v>44.5</v>
      </c>
      <c r="E21" s="108">
        <v>12.5</v>
      </c>
      <c r="F21" s="108">
        <v>42</v>
      </c>
      <c r="G21" s="108">
        <v>87</v>
      </c>
      <c r="H21" s="108" t="s">
        <v>315</v>
      </c>
      <c r="I21" s="108">
        <v>29.5</v>
      </c>
      <c r="J21" s="108">
        <v>38</v>
      </c>
      <c r="K21" s="78">
        <v>500</v>
      </c>
      <c r="L21" s="39">
        <f t="shared" si="2"/>
        <v>253.5</v>
      </c>
      <c r="M21" s="116">
        <f t="shared" si="1"/>
        <v>0.50700000000000001</v>
      </c>
      <c r="N21" s="134" t="str">
        <f t="shared" si="0"/>
        <v>Satisfactory</v>
      </c>
    </row>
    <row r="22" spans="1:14" ht="15.6">
      <c r="A22" s="89">
        <v>17</v>
      </c>
      <c r="B22" s="125" t="s">
        <v>145</v>
      </c>
      <c r="C22" s="71" t="s">
        <v>336</v>
      </c>
      <c r="D22" s="108">
        <v>56</v>
      </c>
      <c r="E22" s="108">
        <v>71.5</v>
      </c>
      <c r="F22" s="108">
        <v>66.5</v>
      </c>
      <c r="G22" s="108">
        <v>73</v>
      </c>
      <c r="H22" s="108" t="s">
        <v>314</v>
      </c>
      <c r="I22" s="108">
        <v>40.5</v>
      </c>
      <c r="J22" s="108">
        <v>45</v>
      </c>
      <c r="K22" s="78">
        <v>500</v>
      </c>
      <c r="L22" s="39">
        <f t="shared" si="2"/>
        <v>352.5</v>
      </c>
      <c r="M22" s="116">
        <f t="shared" si="1"/>
        <v>0.70499999999999996</v>
      </c>
      <c r="N22" s="134" t="str">
        <f t="shared" si="0"/>
        <v>Very Good</v>
      </c>
    </row>
    <row r="23" spans="1:14" ht="15.6">
      <c r="A23" s="82">
        <v>18</v>
      </c>
      <c r="B23" s="125" t="s">
        <v>146</v>
      </c>
      <c r="C23" s="138" t="s">
        <v>337</v>
      </c>
      <c r="D23" s="108">
        <v>44</v>
      </c>
      <c r="E23" s="108">
        <v>42.5</v>
      </c>
      <c r="F23" s="108">
        <v>50.5</v>
      </c>
      <c r="G23" s="108">
        <v>56</v>
      </c>
      <c r="H23" s="108" t="s">
        <v>316</v>
      </c>
      <c r="I23" s="108">
        <v>21</v>
      </c>
      <c r="J23" s="108">
        <v>24</v>
      </c>
      <c r="K23" s="78">
        <v>500</v>
      </c>
      <c r="L23" s="39">
        <f t="shared" si="2"/>
        <v>238</v>
      </c>
      <c r="M23" s="116">
        <f t="shared" si="1"/>
        <v>0.47599999999999998</v>
      </c>
      <c r="N23" s="134" t="str">
        <f t="shared" si="0"/>
        <v>Fair</v>
      </c>
    </row>
    <row r="24" spans="1:14" ht="15.6">
      <c r="A24" s="89">
        <v>19</v>
      </c>
      <c r="B24" s="125" t="s">
        <v>62</v>
      </c>
      <c r="C24" s="125" t="s">
        <v>63</v>
      </c>
      <c r="D24" s="108">
        <v>60</v>
      </c>
      <c r="E24" s="108">
        <v>79</v>
      </c>
      <c r="F24" s="108">
        <v>64.5</v>
      </c>
      <c r="G24" s="108">
        <v>91</v>
      </c>
      <c r="H24" s="108" t="s">
        <v>315</v>
      </c>
      <c r="I24" s="108">
        <v>27.5</v>
      </c>
      <c r="J24" s="108">
        <v>40</v>
      </c>
      <c r="K24" s="78">
        <v>500</v>
      </c>
      <c r="L24" s="39">
        <f t="shared" si="2"/>
        <v>362</v>
      </c>
      <c r="M24" s="116">
        <f t="shared" si="1"/>
        <v>0.72399999999999998</v>
      </c>
      <c r="N24" s="134" t="str">
        <f t="shared" si="0"/>
        <v>Very Good</v>
      </c>
    </row>
    <row r="25" spans="1:14" ht="15.6">
      <c r="A25" s="82">
        <v>20</v>
      </c>
      <c r="B25" s="125" t="s">
        <v>147</v>
      </c>
      <c r="C25" s="125" t="s">
        <v>148</v>
      </c>
      <c r="D25" s="108">
        <v>55</v>
      </c>
      <c r="E25" s="108">
        <v>77</v>
      </c>
      <c r="F25" s="108">
        <v>52.5</v>
      </c>
      <c r="G25" s="108">
        <v>52.5</v>
      </c>
      <c r="H25" s="108" t="s">
        <v>315</v>
      </c>
      <c r="I25" s="108">
        <v>38</v>
      </c>
      <c r="J25" s="108">
        <v>44</v>
      </c>
      <c r="K25" s="78">
        <v>500</v>
      </c>
      <c r="L25" s="39">
        <f t="shared" si="2"/>
        <v>319</v>
      </c>
      <c r="M25" s="116">
        <f t="shared" si="1"/>
        <v>0.63800000000000001</v>
      </c>
      <c r="N25" s="134" t="str">
        <f t="shared" si="0"/>
        <v>Good</v>
      </c>
    </row>
    <row r="26" spans="1:14" ht="15.6">
      <c r="A26" s="89">
        <v>21</v>
      </c>
      <c r="B26" s="125" t="s">
        <v>149</v>
      </c>
      <c r="C26" s="125" t="s">
        <v>150</v>
      </c>
      <c r="D26" s="108">
        <v>55</v>
      </c>
      <c r="E26" s="108">
        <v>84.5</v>
      </c>
      <c r="F26" s="108">
        <v>74</v>
      </c>
      <c r="G26" s="108">
        <v>93.5</v>
      </c>
      <c r="H26" s="108" t="s">
        <v>314</v>
      </c>
      <c r="I26" s="108">
        <v>38</v>
      </c>
      <c r="J26" s="108">
        <v>42</v>
      </c>
      <c r="K26" s="78">
        <v>500</v>
      </c>
      <c r="L26" s="39">
        <f t="shared" si="2"/>
        <v>387</v>
      </c>
      <c r="M26" s="116">
        <f t="shared" si="1"/>
        <v>0.77400000000000002</v>
      </c>
      <c r="N26" s="134" t="str">
        <f t="shared" si="0"/>
        <v>Very Good</v>
      </c>
    </row>
    <row r="27" spans="1:14" ht="15.6">
      <c r="A27" s="82">
        <v>22</v>
      </c>
      <c r="B27" s="125" t="s">
        <v>151</v>
      </c>
      <c r="C27" s="125" t="s">
        <v>152</v>
      </c>
      <c r="D27" s="108">
        <v>55</v>
      </c>
      <c r="E27" s="108">
        <v>70.5</v>
      </c>
      <c r="F27" s="108">
        <v>65.5</v>
      </c>
      <c r="G27" s="108">
        <v>86.5</v>
      </c>
      <c r="H27" s="108" t="s">
        <v>315</v>
      </c>
      <c r="I27" s="108">
        <v>31.5</v>
      </c>
      <c r="J27" s="108">
        <v>38</v>
      </c>
      <c r="K27" s="78">
        <v>500</v>
      </c>
      <c r="L27" s="39">
        <f t="shared" si="2"/>
        <v>347</v>
      </c>
      <c r="M27" s="116">
        <f t="shared" si="1"/>
        <v>0.69399999999999995</v>
      </c>
      <c r="N27" s="134" t="str">
        <f t="shared" si="0"/>
        <v>Good</v>
      </c>
    </row>
    <row r="28" spans="1:14" ht="15.6">
      <c r="A28" s="89">
        <v>23</v>
      </c>
      <c r="B28" s="135" t="s">
        <v>300</v>
      </c>
      <c r="C28" s="135" t="s">
        <v>301</v>
      </c>
      <c r="D28" s="108">
        <v>60</v>
      </c>
      <c r="E28" s="108">
        <v>47.5</v>
      </c>
      <c r="F28" s="108">
        <v>67</v>
      </c>
      <c r="G28" s="108">
        <v>88</v>
      </c>
      <c r="H28" s="108" t="s">
        <v>316</v>
      </c>
      <c r="I28" s="108">
        <v>32</v>
      </c>
      <c r="J28" s="108">
        <v>44</v>
      </c>
      <c r="K28" s="78">
        <v>500</v>
      </c>
      <c r="L28" s="39">
        <f t="shared" si="2"/>
        <v>338.5</v>
      </c>
      <c r="M28" s="116">
        <f t="shared" si="1"/>
        <v>0.67700000000000005</v>
      </c>
      <c r="N28" s="134" t="str">
        <f t="shared" si="0"/>
        <v>Good</v>
      </c>
    </row>
    <row r="29" spans="1:14" ht="15.6">
      <c r="A29" s="82">
        <v>24</v>
      </c>
      <c r="B29" s="71" t="s">
        <v>14</v>
      </c>
      <c r="C29" s="71" t="s">
        <v>15</v>
      </c>
      <c r="D29" s="108">
        <v>84</v>
      </c>
      <c r="E29" s="108">
        <v>72</v>
      </c>
      <c r="F29" s="108">
        <v>55</v>
      </c>
      <c r="G29" s="108">
        <v>88</v>
      </c>
      <c r="H29" s="108" t="s">
        <v>315</v>
      </c>
      <c r="I29" s="108">
        <v>30</v>
      </c>
      <c r="J29" s="108">
        <v>27</v>
      </c>
      <c r="K29" s="78">
        <v>500</v>
      </c>
      <c r="L29" s="39">
        <f t="shared" si="2"/>
        <v>356</v>
      </c>
      <c r="M29" s="116">
        <f t="shared" si="1"/>
        <v>0.71199999999999997</v>
      </c>
      <c r="N29" s="134" t="str">
        <f t="shared" si="0"/>
        <v>Very Good</v>
      </c>
    </row>
    <row r="30" spans="1:14" ht="15.6">
      <c r="A30" s="89">
        <v>25</v>
      </c>
      <c r="B30" s="125" t="s">
        <v>64</v>
      </c>
      <c r="C30" s="125" t="s">
        <v>65</v>
      </c>
      <c r="D30" s="108">
        <v>68</v>
      </c>
      <c r="E30" s="108">
        <v>56.5</v>
      </c>
      <c r="F30" s="108">
        <v>49</v>
      </c>
      <c r="G30" s="108">
        <v>89</v>
      </c>
      <c r="H30" s="108" t="s">
        <v>316</v>
      </c>
      <c r="I30" s="108">
        <v>22</v>
      </c>
      <c r="J30" s="108">
        <v>40</v>
      </c>
      <c r="K30" s="78">
        <v>500</v>
      </c>
      <c r="L30" s="39">
        <f t="shared" si="2"/>
        <v>324.5</v>
      </c>
      <c r="M30" s="116">
        <f t="shared" si="1"/>
        <v>0.64900000000000002</v>
      </c>
      <c r="N30" s="134" t="str">
        <f t="shared" si="0"/>
        <v>Good</v>
      </c>
    </row>
    <row r="31" spans="1:14" ht="15.6">
      <c r="A31" s="82">
        <v>26</v>
      </c>
      <c r="B31" s="125" t="s">
        <v>66</v>
      </c>
      <c r="C31" s="125" t="s">
        <v>67</v>
      </c>
      <c r="D31" s="108">
        <v>83</v>
      </c>
      <c r="E31" s="108">
        <v>89.5</v>
      </c>
      <c r="F31" s="108">
        <v>88</v>
      </c>
      <c r="G31" s="108">
        <v>81</v>
      </c>
      <c r="H31" s="108" t="s">
        <v>315</v>
      </c>
      <c r="I31" s="108">
        <v>44</v>
      </c>
      <c r="J31" s="108">
        <v>45.5</v>
      </c>
      <c r="K31" s="78">
        <v>500</v>
      </c>
      <c r="L31" s="39">
        <f t="shared" si="2"/>
        <v>431</v>
      </c>
      <c r="M31" s="116">
        <f t="shared" si="1"/>
        <v>0.86199999999999999</v>
      </c>
      <c r="N31" s="134" t="str">
        <f>IF(M31&gt;=85%,"Outstanding",IF(M31&gt;=80%,"Excellent",IF(M31&gt;=70%,"Very Good",IF(M31&gt;=60%,"Good",IF(M31&gt;=50%,"Satisfactory",IF(M31&gt;=40%,"Fair","Needs Attention"))))))</f>
        <v>Outstanding</v>
      </c>
    </row>
    <row r="32" spans="1:14" ht="15.6">
      <c r="A32" s="89">
        <v>27</v>
      </c>
      <c r="B32" s="125" t="s">
        <v>72</v>
      </c>
      <c r="C32" s="125" t="s">
        <v>73</v>
      </c>
      <c r="D32" s="108">
        <v>37</v>
      </c>
      <c r="E32" s="108">
        <v>62.5</v>
      </c>
      <c r="F32" s="108">
        <v>53</v>
      </c>
      <c r="G32" s="108">
        <v>50</v>
      </c>
      <c r="H32" s="108" t="s">
        <v>316</v>
      </c>
      <c r="I32" s="108">
        <v>18.5</v>
      </c>
      <c r="J32" s="108">
        <v>49</v>
      </c>
      <c r="K32" s="78">
        <v>500</v>
      </c>
      <c r="L32" s="39">
        <f t="shared" si="2"/>
        <v>270</v>
      </c>
      <c r="M32" s="116">
        <f t="shared" si="1"/>
        <v>0.54</v>
      </c>
      <c r="N32" s="134" t="str">
        <f t="shared" si="0"/>
        <v>Satisfactory</v>
      </c>
    </row>
    <row r="33" spans="1:14" ht="15.6">
      <c r="A33" s="82">
        <v>28</v>
      </c>
      <c r="B33" s="135" t="s">
        <v>110</v>
      </c>
      <c r="C33" s="135" t="s">
        <v>112</v>
      </c>
      <c r="D33" s="108">
        <v>57.5</v>
      </c>
      <c r="E33" s="108">
        <v>62</v>
      </c>
      <c r="F33" s="108">
        <v>87.5</v>
      </c>
      <c r="G33" s="108">
        <v>89</v>
      </c>
      <c r="H33" s="108" t="s">
        <v>315</v>
      </c>
      <c r="I33" s="108">
        <v>43.5</v>
      </c>
      <c r="J33" s="108">
        <v>49.5</v>
      </c>
      <c r="K33" s="78">
        <v>500</v>
      </c>
      <c r="L33" s="39">
        <f t="shared" si="2"/>
        <v>389</v>
      </c>
      <c r="M33" s="116">
        <f t="shared" si="1"/>
        <v>0.77800000000000002</v>
      </c>
      <c r="N33" s="134" t="str">
        <f t="shared" si="0"/>
        <v>Very Good</v>
      </c>
    </row>
    <row r="34" spans="1:14" ht="15.6">
      <c r="A34" s="89">
        <v>29</v>
      </c>
      <c r="B34" s="125" t="s">
        <v>79</v>
      </c>
      <c r="C34" s="125" t="s">
        <v>80</v>
      </c>
      <c r="D34" s="108">
        <v>95</v>
      </c>
      <c r="E34" s="108">
        <v>99</v>
      </c>
      <c r="F34" s="108">
        <v>100</v>
      </c>
      <c r="G34" s="108">
        <v>100</v>
      </c>
      <c r="H34" s="108" t="s">
        <v>314</v>
      </c>
      <c r="I34" s="108">
        <v>43.5</v>
      </c>
      <c r="J34" s="108">
        <v>50</v>
      </c>
      <c r="K34" s="78">
        <v>500</v>
      </c>
      <c r="L34" s="39">
        <f t="shared" si="2"/>
        <v>487.5</v>
      </c>
      <c r="M34" s="116">
        <f t="shared" si="1"/>
        <v>0.97499999999999998</v>
      </c>
      <c r="N34" s="134" t="str">
        <f t="shared" si="0"/>
        <v>Outstanding</v>
      </c>
    </row>
    <row r="35" spans="1:14" ht="15.6">
      <c r="A35" s="82">
        <v>30</v>
      </c>
      <c r="B35" s="125" t="s">
        <v>161</v>
      </c>
      <c r="C35" s="125" t="s">
        <v>162</v>
      </c>
      <c r="D35" s="108">
        <v>73.5</v>
      </c>
      <c r="E35" s="108">
        <v>56.5</v>
      </c>
      <c r="F35" s="108">
        <v>66.5</v>
      </c>
      <c r="G35" s="108">
        <v>77</v>
      </c>
      <c r="H35" s="108" t="s">
        <v>314</v>
      </c>
      <c r="I35" s="108">
        <v>44.5</v>
      </c>
      <c r="J35" s="108">
        <v>45.5</v>
      </c>
      <c r="K35" s="78">
        <v>500</v>
      </c>
      <c r="L35" s="39">
        <f>SUM(D35:J35)</f>
        <v>363.5</v>
      </c>
      <c r="M35" s="116">
        <f t="shared" si="1"/>
        <v>0.72699999999999998</v>
      </c>
      <c r="N35" s="134" t="str">
        <f t="shared" si="0"/>
        <v>Very Good</v>
      </c>
    </row>
    <row r="36" spans="1:14" ht="15.6">
      <c r="A36" s="89">
        <v>31</v>
      </c>
      <c r="B36" s="71" t="s">
        <v>28</v>
      </c>
      <c r="C36" s="71" t="s">
        <v>29</v>
      </c>
      <c r="D36" s="108">
        <v>80</v>
      </c>
      <c r="E36" s="108">
        <v>79</v>
      </c>
      <c r="F36" s="108">
        <v>85</v>
      </c>
      <c r="G36" s="108">
        <v>91</v>
      </c>
      <c r="H36" s="108" t="s">
        <v>315</v>
      </c>
      <c r="I36" s="136">
        <v>28</v>
      </c>
      <c r="J36" s="136">
        <v>27</v>
      </c>
      <c r="K36" s="78">
        <v>500</v>
      </c>
      <c r="L36" s="39">
        <f>SUM(D36:J36)</f>
        <v>390</v>
      </c>
      <c r="M36" s="116">
        <f t="shared" si="1"/>
        <v>0.78</v>
      </c>
      <c r="N36" s="134" t="str">
        <f>IF(M36&gt;=85%,"Outstanding",IF(M36&gt;=80%,"Excellent",IF(M36&gt;=70%,"Very Good",IF(M36&gt;=60%,"Good",IF(M36&gt;=50%,"Satisfactory",IF(M36&gt;=40%,"Fair","Needs Attention"))))))</f>
        <v>Very Good</v>
      </c>
    </row>
    <row r="37" spans="1:14" ht="16.2" thickBot="1">
      <c r="A37" s="90">
        <v>32</v>
      </c>
      <c r="B37" s="139" t="s">
        <v>38</v>
      </c>
      <c r="C37" s="139" t="s">
        <v>163</v>
      </c>
      <c r="D37" s="109">
        <v>43.5</v>
      </c>
      <c r="E37" s="109">
        <v>41.5</v>
      </c>
      <c r="F37" s="109">
        <v>45.5</v>
      </c>
      <c r="G37" s="109">
        <v>42</v>
      </c>
      <c r="H37" s="109" t="s">
        <v>316</v>
      </c>
      <c r="I37" s="109">
        <v>28.5</v>
      </c>
      <c r="J37" s="109">
        <v>26</v>
      </c>
      <c r="K37" s="145">
        <v>500</v>
      </c>
      <c r="L37" s="146">
        <f t="shared" si="2"/>
        <v>227</v>
      </c>
      <c r="M37" s="117">
        <f t="shared" si="1"/>
        <v>0.45400000000000001</v>
      </c>
      <c r="N37" s="88" t="str">
        <f t="shared" si="0"/>
        <v>Fair</v>
      </c>
    </row>
    <row r="38" spans="1:14">
      <c r="A38" s="173" t="s">
        <v>40</v>
      </c>
      <c r="B38" s="174"/>
      <c r="C38" s="174"/>
      <c r="K38" s="173" t="s">
        <v>164</v>
      </c>
      <c r="L38" s="174"/>
      <c r="M38" s="174"/>
    </row>
    <row r="39" spans="1:14" ht="44.4" customHeight="1" thickBot="1">
      <c r="A39" s="174"/>
      <c r="B39" s="174"/>
      <c r="C39" s="174"/>
      <c r="K39" s="174"/>
      <c r="L39" s="174"/>
      <c r="M39" s="174"/>
    </row>
    <row r="40" spans="1:14" ht="18.600000000000001" thickBot="1">
      <c r="L40" s="147" t="s">
        <v>165</v>
      </c>
      <c r="M40" s="148"/>
    </row>
    <row r="41" spans="1:14" ht="18">
      <c r="B41" s="2" t="s">
        <v>45</v>
      </c>
      <c r="C41" s="3" t="s">
        <v>46</v>
      </c>
      <c r="D41" s="3" t="s">
        <v>7</v>
      </c>
      <c r="E41" s="3" t="s">
        <v>56</v>
      </c>
      <c r="F41" s="3" t="s">
        <v>8</v>
      </c>
      <c r="G41" s="3" t="s">
        <v>57</v>
      </c>
      <c r="H41" s="26" t="s">
        <v>85</v>
      </c>
      <c r="I41" s="26" t="s">
        <v>59</v>
      </c>
      <c r="L41" s="48" t="s">
        <v>43</v>
      </c>
      <c r="M41" s="63">
        <v>32</v>
      </c>
    </row>
    <row r="42" spans="1:14" ht="18">
      <c r="B42" s="7" t="s">
        <v>48</v>
      </c>
      <c r="C42" s="110">
        <f>32-C44</f>
        <v>29</v>
      </c>
      <c r="D42" s="110">
        <f t="shared" ref="D42:I42" si="3">32-D44</f>
        <v>29</v>
      </c>
      <c r="E42" s="110">
        <f t="shared" si="3"/>
        <v>30</v>
      </c>
      <c r="F42" s="110">
        <f t="shared" si="3"/>
        <v>32</v>
      </c>
      <c r="G42" s="110">
        <f t="shared" si="3"/>
        <v>32</v>
      </c>
      <c r="H42" s="110">
        <f t="shared" si="3"/>
        <v>28</v>
      </c>
      <c r="I42" s="111">
        <f t="shared" si="3"/>
        <v>31</v>
      </c>
      <c r="L42" s="49" t="s">
        <v>44</v>
      </c>
      <c r="M42" s="63">
        <v>32</v>
      </c>
    </row>
    <row r="43" spans="1:14" ht="18">
      <c r="B43" s="10" t="s">
        <v>50</v>
      </c>
      <c r="C43" s="11">
        <f>C42/32</f>
        <v>0.90625</v>
      </c>
      <c r="D43" s="11">
        <f>D42/32</f>
        <v>0.90625</v>
      </c>
      <c r="E43" s="11">
        <f t="shared" ref="E43:I43" si="4">E42/32</f>
        <v>0.9375</v>
      </c>
      <c r="F43" s="11">
        <f t="shared" si="4"/>
        <v>1</v>
      </c>
      <c r="G43" s="11">
        <f t="shared" si="4"/>
        <v>1</v>
      </c>
      <c r="H43" s="11">
        <f t="shared" si="4"/>
        <v>0.875</v>
      </c>
      <c r="I43" s="28">
        <f t="shared" si="4"/>
        <v>0.96875</v>
      </c>
      <c r="L43" s="49" t="s">
        <v>47</v>
      </c>
      <c r="M43" s="63">
        <v>30</v>
      </c>
    </row>
    <row r="44" spans="1:14" ht="18">
      <c r="B44" s="10" t="s">
        <v>52</v>
      </c>
      <c r="C44" s="61">
        <v>3</v>
      </c>
      <c r="D44" s="61">
        <v>3</v>
      </c>
      <c r="E44" s="61">
        <v>2</v>
      </c>
      <c r="F44" s="61">
        <v>0</v>
      </c>
      <c r="G44" s="61">
        <v>0</v>
      </c>
      <c r="H44" s="61">
        <v>4</v>
      </c>
      <c r="I44" s="66">
        <v>1</v>
      </c>
      <c r="L44" s="49" t="s">
        <v>49</v>
      </c>
      <c r="M44" s="21">
        <f>M43/M42</f>
        <v>0.9375</v>
      </c>
    </row>
    <row r="45" spans="1:14" ht="18">
      <c r="B45" s="14" t="s">
        <v>54</v>
      </c>
      <c r="C45" s="15">
        <f t="shared" ref="C45:I45" si="5">100%-C43</f>
        <v>9.375E-2</v>
      </c>
      <c r="D45" s="15">
        <f t="shared" si="5"/>
        <v>9.375E-2</v>
      </c>
      <c r="E45" s="15">
        <f t="shared" si="5"/>
        <v>6.25E-2</v>
      </c>
      <c r="F45" s="15">
        <f t="shared" si="5"/>
        <v>0</v>
      </c>
      <c r="G45" s="15">
        <f t="shared" si="5"/>
        <v>0</v>
      </c>
      <c r="H45" s="15">
        <f t="shared" si="5"/>
        <v>0.125</v>
      </c>
      <c r="I45" s="30">
        <f t="shared" si="5"/>
        <v>3.125E-2</v>
      </c>
      <c r="L45" s="49" t="s">
        <v>51</v>
      </c>
      <c r="M45" s="20">
        <f>M42-M43</f>
        <v>2</v>
      </c>
    </row>
    <row r="46" spans="1:14" ht="18">
      <c r="L46" s="50" t="s">
        <v>53</v>
      </c>
      <c r="M46" s="22">
        <f>M45/M42</f>
        <v>6.25E-2</v>
      </c>
    </row>
    <row r="47" spans="1:14">
      <c r="C47" s="18"/>
      <c r="D47" s="18"/>
      <c r="E47" s="18"/>
      <c r="F47" s="18"/>
      <c r="G47" s="18"/>
      <c r="H47" s="18"/>
      <c r="I47" s="18"/>
    </row>
    <row r="48" spans="1:14" ht="18">
      <c r="E48" s="19"/>
    </row>
    <row r="49" spans="5:5" ht="18">
      <c r="E49" s="19"/>
    </row>
    <row r="50" spans="5:5" ht="18">
      <c r="E50" s="19"/>
    </row>
    <row r="51" spans="5:5" ht="18">
      <c r="E51" s="19"/>
    </row>
    <row r="52" spans="5:5" ht="18">
      <c r="E52" s="19"/>
    </row>
    <row r="53" spans="5:5" ht="18">
      <c r="E53" s="19"/>
    </row>
    <row r="54" spans="5:5" ht="18">
      <c r="E54" s="19"/>
    </row>
  </sheetData>
  <mergeCells count="14">
    <mergeCell ref="A1:N1"/>
    <mergeCell ref="A2:N2"/>
    <mergeCell ref="A3:C3"/>
    <mergeCell ref="D3:J3"/>
    <mergeCell ref="K3:N3"/>
    <mergeCell ref="N4:N5"/>
    <mergeCell ref="A38:C39"/>
    <mergeCell ref="K38:M39"/>
    <mergeCell ref="L40:M40"/>
    <mergeCell ref="A4:A5"/>
    <mergeCell ref="B4:B5"/>
    <mergeCell ref="C4:C5"/>
    <mergeCell ref="L4:L5"/>
    <mergeCell ref="M4:M5"/>
  </mergeCells>
  <phoneticPr fontId="30" type="noConversion"/>
  <conditionalFormatting sqref="C43:I43">
    <cfRule type="cellIs" dxfId="78" priority="37" operator="lessThan">
      <formula>0.5</formula>
    </cfRule>
  </conditionalFormatting>
  <conditionalFormatting sqref="D6:G37">
    <cfRule type="cellIs" dxfId="77" priority="2" operator="lessThan">
      <formula>40</formula>
    </cfRule>
  </conditionalFormatting>
  <conditionalFormatting sqref="H6:J37">
    <cfRule type="cellIs" dxfId="76" priority="1" operator="lessThan">
      <formula>20</formula>
    </cfRule>
  </conditionalFormatting>
  <conditionalFormatting sqref="L6:L37">
    <cfRule type="cellIs" dxfId="75" priority="48" operator="lessThan">
      <formula>70</formula>
    </cfRule>
    <cfRule type="cellIs" dxfId="74" priority="50" operator="lessThan">
      <formula>80</formula>
    </cfRule>
  </conditionalFormatting>
  <conditionalFormatting sqref="M6:M37">
    <cfRule type="cellIs" dxfId="73" priority="51" operator="lessThan">
      <formula>0.4</formula>
    </cfRule>
  </conditionalFormatting>
  <printOptions horizontalCentered="1"/>
  <pageMargins left="0.2" right="0.2" top="0.25" bottom="0.25" header="0.3" footer="0.3"/>
  <pageSetup paperSize="9" scale="78" orientation="landscape" horizontalDpi="4294967295" verticalDpi="4294967295" r:id="rId1"/>
  <rowBreaks count="1" manualBreakCount="1">
    <brk id="46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880C-187C-4FAC-8135-CD7EA5E76DDA}">
  <sheetPr>
    <pageSetUpPr fitToPage="1"/>
  </sheetPr>
  <dimension ref="A1:O34"/>
  <sheetViews>
    <sheetView zoomScale="70" zoomScaleNormal="70" zoomScaleSheetLayoutView="70" workbookViewId="0">
      <selection activeCell="L14" sqref="L14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339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82"/>
      <c r="O5" s="177"/>
    </row>
    <row r="6" spans="1:15" ht="15.6">
      <c r="A6" s="38">
        <v>1</v>
      </c>
      <c r="B6" s="71" t="s">
        <v>168</v>
      </c>
      <c r="C6" s="71" t="s">
        <v>169</v>
      </c>
      <c r="D6" s="108">
        <v>4</v>
      </c>
      <c r="E6" s="108">
        <v>52</v>
      </c>
      <c r="F6" s="108">
        <v>27.5</v>
      </c>
      <c r="G6" s="108">
        <v>23</v>
      </c>
      <c r="H6" s="108" t="s">
        <v>316</v>
      </c>
      <c r="I6" s="108">
        <v>20</v>
      </c>
      <c r="J6" s="108">
        <v>22</v>
      </c>
      <c r="K6" s="108">
        <v>12</v>
      </c>
      <c r="L6" s="75">
        <v>550</v>
      </c>
      <c r="M6" s="58">
        <f>SUM(D6:K6)</f>
        <v>160.5</v>
      </c>
      <c r="N6" s="120">
        <f>M6/L5</f>
        <v>0.29181818181818181</v>
      </c>
      <c r="O6" s="44" t="str">
        <f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89">
        <v>2</v>
      </c>
      <c r="B7" s="71" t="s">
        <v>327</v>
      </c>
      <c r="C7" s="125" t="s">
        <v>116</v>
      </c>
      <c r="D7" s="108">
        <v>43</v>
      </c>
      <c r="E7" s="108">
        <v>45</v>
      </c>
      <c r="F7" s="108">
        <v>54.5</v>
      </c>
      <c r="G7" s="108">
        <v>48</v>
      </c>
      <c r="H7" s="108" t="s">
        <v>315</v>
      </c>
      <c r="I7" s="108">
        <v>28</v>
      </c>
      <c r="J7" s="108">
        <v>20</v>
      </c>
      <c r="K7" s="108">
        <v>25</v>
      </c>
      <c r="L7" s="75">
        <v>550</v>
      </c>
      <c r="M7" s="58">
        <f t="shared" ref="M7:M16" si="0">SUM(D7:K7)</f>
        <v>263.5</v>
      </c>
      <c r="N7" s="120">
        <f t="shared" ref="N7:N16" si="1">M7/L6</f>
        <v>0.47909090909090907</v>
      </c>
      <c r="O7" s="44" t="str">
        <f t="shared" ref="O7:O16" si="2">IF(N7&gt;=85%,"Outstanding",IF(N7&gt;=80%,"Excellent",IF(N7&gt;=70%,"Very Good",IF(N7&gt;=60%,"Good",IF(N7&gt;=50%,"Satisfactory",IF(N7&gt;=40%,"Fair","Needs Attention"))))))</f>
        <v>Fair</v>
      </c>
    </row>
    <row r="8" spans="1:15" ht="15.6">
      <c r="A8" s="38">
        <v>3</v>
      </c>
      <c r="B8" s="71" t="s">
        <v>328</v>
      </c>
      <c r="C8" s="125" t="s">
        <v>117</v>
      </c>
      <c r="D8" s="108">
        <v>78</v>
      </c>
      <c r="E8" s="108">
        <v>84.5</v>
      </c>
      <c r="F8" s="108">
        <v>79</v>
      </c>
      <c r="G8" s="108">
        <v>87.5</v>
      </c>
      <c r="H8" s="108" t="s">
        <v>314</v>
      </c>
      <c r="I8" s="108">
        <v>38</v>
      </c>
      <c r="J8" s="108">
        <v>41</v>
      </c>
      <c r="K8" s="108">
        <v>47</v>
      </c>
      <c r="L8" s="75">
        <v>550</v>
      </c>
      <c r="M8" s="58">
        <f t="shared" si="0"/>
        <v>455</v>
      </c>
      <c r="N8" s="120">
        <f t="shared" si="1"/>
        <v>0.82727272727272727</v>
      </c>
      <c r="O8" s="44" t="str">
        <f t="shared" si="2"/>
        <v>Excellent</v>
      </c>
    </row>
    <row r="9" spans="1:15" ht="15.6">
      <c r="A9" s="89">
        <v>4</v>
      </c>
      <c r="B9" s="125" t="s">
        <v>132</v>
      </c>
      <c r="C9" s="125" t="s">
        <v>133</v>
      </c>
      <c r="D9" s="108">
        <v>73.5</v>
      </c>
      <c r="E9" s="108">
        <v>98</v>
      </c>
      <c r="F9" s="108">
        <v>84.5</v>
      </c>
      <c r="G9" s="108">
        <v>96</v>
      </c>
      <c r="H9" s="108" t="s">
        <v>314</v>
      </c>
      <c r="I9" s="108">
        <v>48</v>
      </c>
      <c r="J9" s="108">
        <v>47.5</v>
      </c>
      <c r="K9" s="108">
        <v>49</v>
      </c>
      <c r="L9" s="75">
        <v>550</v>
      </c>
      <c r="M9" s="58">
        <f t="shared" si="0"/>
        <v>496.5</v>
      </c>
      <c r="N9" s="120">
        <f t="shared" si="1"/>
        <v>0.90272727272727271</v>
      </c>
      <c r="O9" s="44" t="str">
        <f t="shared" si="2"/>
        <v>Outstanding</v>
      </c>
    </row>
    <row r="10" spans="1:15" ht="15.6">
      <c r="A10" s="38">
        <v>5</v>
      </c>
      <c r="B10" s="125" t="s">
        <v>134</v>
      </c>
      <c r="C10" s="125" t="s">
        <v>135</v>
      </c>
      <c r="D10" s="108">
        <v>40</v>
      </c>
      <c r="E10" s="108">
        <v>54.5</v>
      </c>
      <c r="F10" s="108">
        <v>44.5</v>
      </c>
      <c r="G10" s="108">
        <v>75</v>
      </c>
      <c r="H10" s="108" t="s">
        <v>315</v>
      </c>
      <c r="I10" s="108">
        <v>24</v>
      </c>
      <c r="J10" s="108">
        <v>20</v>
      </c>
      <c r="K10" s="108">
        <v>40</v>
      </c>
      <c r="L10" s="75">
        <v>550</v>
      </c>
      <c r="M10" s="58">
        <f t="shared" si="0"/>
        <v>298</v>
      </c>
      <c r="N10" s="120">
        <f t="shared" si="1"/>
        <v>0.54181818181818187</v>
      </c>
      <c r="O10" s="44" t="str">
        <f t="shared" si="2"/>
        <v>Satisfactory</v>
      </c>
    </row>
    <row r="11" spans="1:15" ht="15.6">
      <c r="A11" s="89">
        <v>6</v>
      </c>
      <c r="B11" s="125" t="s">
        <v>142</v>
      </c>
      <c r="C11" s="125" t="s">
        <v>137</v>
      </c>
      <c r="D11" s="108">
        <v>41</v>
      </c>
      <c r="E11" s="108">
        <v>67</v>
      </c>
      <c r="F11" s="108">
        <v>64.5</v>
      </c>
      <c r="G11" s="108">
        <v>58.5</v>
      </c>
      <c r="H11" s="108" t="s">
        <v>315</v>
      </c>
      <c r="I11" s="108">
        <v>30</v>
      </c>
      <c r="J11" s="108">
        <v>39.5</v>
      </c>
      <c r="K11" s="108">
        <v>44</v>
      </c>
      <c r="L11" s="75">
        <v>550</v>
      </c>
      <c r="M11" s="58">
        <f t="shared" si="0"/>
        <v>344.5</v>
      </c>
      <c r="N11" s="120">
        <f t="shared" si="1"/>
        <v>0.62636363636363634</v>
      </c>
      <c r="O11" s="44" t="str">
        <f t="shared" si="2"/>
        <v>Good</v>
      </c>
    </row>
    <row r="12" spans="1:15" ht="15.6">
      <c r="A12" s="38">
        <v>7</v>
      </c>
      <c r="B12" s="125" t="s">
        <v>153</v>
      </c>
      <c r="C12" s="125" t="s">
        <v>154</v>
      </c>
      <c r="D12" s="108">
        <v>75</v>
      </c>
      <c r="E12" s="108">
        <v>85.5</v>
      </c>
      <c r="F12" s="108">
        <v>78</v>
      </c>
      <c r="G12" s="108">
        <v>93.5</v>
      </c>
      <c r="H12" s="108" t="s">
        <v>314</v>
      </c>
      <c r="I12" s="108">
        <v>40</v>
      </c>
      <c r="J12" s="108">
        <v>41.5</v>
      </c>
      <c r="K12" s="108">
        <v>38</v>
      </c>
      <c r="L12" s="75">
        <v>550</v>
      </c>
      <c r="M12" s="58">
        <f t="shared" si="0"/>
        <v>451.5</v>
      </c>
      <c r="N12" s="120">
        <f t="shared" si="1"/>
        <v>0.82090909090909092</v>
      </c>
      <c r="O12" s="44" t="str">
        <f t="shared" si="2"/>
        <v>Excellent</v>
      </c>
    </row>
    <row r="13" spans="1:15" ht="15.6">
      <c r="A13" s="89">
        <v>8</v>
      </c>
      <c r="B13" s="125" t="s">
        <v>157</v>
      </c>
      <c r="C13" s="125" t="s">
        <v>158</v>
      </c>
      <c r="D13" s="108">
        <v>87.5</v>
      </c>
      <c r="E13" s="108">
        <v>95.5</v>
      </c>
      <c r="F13" s="108">
        <v>88</v>
      </c>
      <c r="G13" s="108">
        <v>97</v>
      </c>
      <c r="H13" s="108" t="s">
        <v>314</v>
      </c>
      <c r="I13" s="108">
        <v>47</v>
      </c>
      <c r="J13" s="108">
        <v>48</v>
      </c>
      <c r="K13" s="108">
        <v>48</v>
      </c>
      <c r="L13" s="75">
        <v>550</v>
      </c>
      <c r="M13" s="58">
        <f t="shared" si="0"/>
        <v>511</v>
      </c>
      <c r="N13" s="120">
        <f t="shared" si="1"/>
        <v>0.92909090909090908</v>
      </c>
      <c r="O13" s="44" t="str">
        <f t="shared" si="2"/>
        <v>Outstanding</v>
      </c>
    </row>
    <row r="14" spans="1:15" ht="15.6">
      <c r="A14" s="38">
        <v>9</v>
      </c>
      <c r="B14" s="71" t="s">
        <v>194</v>
      </c>
      <c r="C14" s="52" t="s">
        <v>195</v>
      </c>
      <c r="D14" s="108">
        <v>43</v>
      </c>
      <c r="E14" s="108">
        <v>62</v>
      </c>
      <c r="F14" s="108">
        <v>57</v>
      </c>
      <c r="G14" s="108">
        <v>42</v>
      </c>
      <c r="H14" s="108" t="s">
        <v>314</v>
      </c>
      <c r="I14" s="108">
        <v>34.5</v>
      </c>
      <c r="J14" s="108">
        <v>32</v>
      </c>
      <c r="K14" s="108">
        <v>41.5</v>
      </c>
      <c r="L14" s="75">
        <v>550</v>
      </c>
      <c r="M14" s="58">
        <f t="shared" si="0"/>
        <v>312</v>
      </c>
      <c r="N14" s="120">
        <f t="shared" si="1"/>
        <v>0.56727272727272726</v>
      </c>
      <c r="O14" s="44" t="str">
        <f t="shared" si="2"/>
        <v>Satisfactory</v>
      </c>
    </row>
    <row r="15" spans="1:15" ht="15.6">
      <c r="A15" s="89">
        <v>10</v>
      </c>
      <c r="B15" s="52" t="s">
        <v>329</v>
      </c>
      <c r="C15" s="126" t="s">
        <v>74</v>
      </c>
      <c r="D15" s="108">
        <v>93</v>
      </c>
      <c r="E15" s="108">
        <v>98</v>
      </c>
      <c r="F15" s="108">
        <v>99</v>
      </c>
      <c r="G15" s="108">
        <v>100</v>
      </c>
      <c r="H15" s="108" t="s">
        <v>314</v>
      </c>
      <c r="I15" s="108">
        <v>48</v>
      </c>
      <c r="J15" s="108">
        <v>44</v>
      </c>
      <c r="K15" s="108">
        <v>46.5</v>
      </c>
      <c r="L15" s="75">
        <v>550</v>
      </c>
      <c r="M15" s="58">
        <f t="shared" si="0"/>
        <v>528.5</v>
      </c>
      <c r="N15" s="120">
        <f t="shared" si="1"/>
        <v>0.96090909090909093</v>
      </c>
      <c r="O15" s="44" t="str">
        <f t="shared" si="2"/>
        <v>Outstanding</v>
      </c>
    </row>
    <row r="16" spans="1:15" ht="16.2" thickBot="1">
      <c r="A16" s="40">
        <v>11</v>
      </c>
      <c r="B16" s="127" t="s">
        <v>111</v>
      </c>
      <c r="C16" s="127" t="s">
        <v>97</v>
      </c>
      <c r="D16" s="109">
        <v>86</v>
      </c>
      <c r="E16" s="109">
        <v>52</v>
      </c>
      <c r="F16" s="109">
        <v>87</v>
      </c>
      <c r="G16" s="109">
        <v>95</v>
      </c>
      <c r="H16" s="109" t="s">
        <v>315</v>
      </c>
      <c r="I16" s="109">
        <v>45</v>
      </c>
      <c r="J16" s="109">
        <v>45</v>
      </c>
      <c r="K16" s="109">
        <v>33.5</v>
      </c>
      <c r="L16" s="45">
        <v>550</v>
      </c>
      <c r="M16" s="59">
        <f t="shared" si="0"/>
        <v>443.5</v>
      </c>
      <c r="N16" s="121">
        <f t="shared" si="1"/>
        <v>0.80636363636363639</v>
      </c>
      <c r="O16" s="47" t="str">
        <f t="shared" si="2"/>
        <v>Excellent</v>
      </c>
    </row>
    <row r="18" spans="1:14">
      <c r="A18" s="173" t="s">
        <v>40</v>
      </c>
      <c r="B18" s="174"/>
      <c r="C18" s="174"/>
      <c r="K18" s="173" t="s">
        <v>113</v>
      </c>
      <c r="L18" s="174"/>
      <c r="M18" s="174"/>
    </row>
    <row r="19" spans="1:14" ht="51.6" customHeight="1" thickBot="1">
      <c r="A19" s="174"/>
      <c r="B19" s="174"/>
      <c r="C19" s="174"/>
      <c r="K19" s="174"/>
      <c r="L19" s="174"/>
      <c r="M19" s="174"/>
    </row>
    <row r="20" spans="1:14" ht="18.600000000000001" thickBot="1">
      <c r="M20" s="183" t="s">
        <v>313</v>
      </c>
      <c r="N20" s="148"/>
    </row>
    <row r="21" spans="1:14" ht="18.600000000000001" thickBot="1">
      <c r="C21" s="2" t="s">
        <v>45</v>
      </c>
      <c r="D21" s="3" t="s">
        <v>46</v>
      </c>
      <c r="E21" s="3" t="s">
        <v>7</v>
      </c>
      <c r="F21" s="3" t="s">
        <v>166</v>
      </c>
      <c r="G21" s="3" t="s">
        <v>8</v>
      </c>
      <c r="H21" s="3" t="s">
        <v>57</v>
      </c>
      <c r="I21" s="3" t="s">
        <v>199</v>
      </c>
      <c r="J21" s="26" t="s">
        <v>85</v>
      </c>
      <c r="K21" s="26" t="s">
        <v>59</v>
      </c>
      <c r="M21" s="48" t="s">
        <v>43</v>
      </c>
      <c r="N21" s="63">
        <v>11</v>
      </c>
    </row>
    <row r="22" spans="1:14" ht="18">
      <c r="C22" s="7" t="s">
        <v>48</v>
      </c>
      <c r="D22" s="110">
        <f>11-D24</f>
        <v>10</v>
      </c>
      <c r="E22" s="110">
        <f t="shared" ref="E22:K22" si="3">11-E24</f>
        <v>11</v>
      </c>
      <c r="F22" s="110">
        <f t="shared" si="3"/>
        <v>10</v>
      </c>
      <c r="G22" s="110">
        <f t="shared" si="3"/>
        <v>10</v>
      </c>
      <c r="H22" s="110">
        <f t="shared" si="3"/>
        <v>11</v>
      </c>
      <c r="I22" s="110">
        <f t="shared" si="3"/>
        <v>11</v>
      </c>
      <c r="J22" s="110">
        <f t="shared" si="3"/>
        <v>10</v>
      </c>
      <c r="K22" s="110">
        <f t="shared" si="3"/>
        <v>10</v>
      </c>
      <c r="M22" s="49" t="s">
        <v>44</v>
      </c>
      <c r="N22" s="63">
        <v>11</v>
      </c>
    </row>
    <row r="23" spans="1:14" ht="18">
      <c r="C23" s="10" t="s">
        <v>50</v>
      </c>
      <c r="D23" s="11">
        <f>D22/11</f>
        <v>0.90909090909090906</v>
      </c>
      <c r="E23" s="11">
        <f t="shared" ref="E23:K23" si="4">E22/11</f>
        <v>1</v>
      </c>
      <c r="F23" s="11">
        <f t="shared" si="4"/>
        <v>0.90909090909090906</v>
      </c>
      <c r="G23" s="11">
        <f t="shared" si="4"/>
        <v>0.90909090909090906</v>
      </c>
      <c r="H23" s="11">
        <f t="shared" si="4"/>
        <v>1</v>
      </c>
      <c r="I23" s="11">
        <f t="shared" si="4"/>
        <v>1</v>
      </c>
      <c r="J23" s="11">
        <f t="shared" si="4"/>
        <v>0.90909090909090906</v>
      </c>
      <c r="K23" s="11">
        <f t="shared" si="4"/>
        <v>0.90909090909090906</v>
      </c>
      <c r="M23" s="49" t="s">
        <v>47</v>
      </c>
      <c r="N23" s="63">
        <v>10</v>
      </c>
    </row>
    <row r="24" spans="1:14" ht="18">
      <c r="C24" s="10" t="s">
        <v>52</v>
      </c>
      <c r="D24" s="61">
        <v>1</v>
      </c>
      <c r="E24" s="61">
        <v>0</v>
      </c>
      <c r="F24" s="61">
        <v>1</v>
      </c>
      <c r="G24" s="61">
        <v>1</v>
      </c>
      <c r="H24" s="61">
        <v>0</v>
      </c>
      <c r="I24" s="61">
        <v>0</v>
      </c>
      <c r="J24" s="61">
        <v>1</v>
      </c>
      <c r="K24" s="66">
        <v>1</v>
      </c>
      <c r="M24" s="49" t="s">
        <v>49</v>
      </c>
      <c r="N24" s="21">
        <f>N23/N22</f>
        <v>0.90909090909090906</v>
      </c>
    </row>
    <row r="25" spans="1:14" ht="18.600000000000001" thickBot="1">
      <c r="C25" s="14" t="s">
        <v>54</v>
      </c>
      <c r="D25" s="15">
        <f t="shared" ref="D25:K25" si="5">100%-D23</f>
        <v>9.0909090909090939E-2</v>
      </c>
      <c r="E25" s="15">
        <f t="shared" si="5"/>
        <v>0</v>
      </c>
      <c r="F25" s="15">
        <f t="shared" si="5"/>
        <v>9.0909090909090939E-2</v>
      </c>
      <c r="G25" s="15">
        <f t="shared" si="5"/>
        <v>9.0909090909090939E-2</v>
      </c>
      <c r="H25" s="15">
        <f t="shared" si="5"/>
        <v>0</v>
      </c>
      <c r="I25" s="15">
        <f t="shared" si="5"/>
        <v>0</v>
      </c>
      <c r="J25" s="15">
        <f t="shared" si="5"/>
        <v>9.0909090909090939E-2</v>
      </c>
      <c r="K25" s="30">
        <f t="shared" si="5"/>
        <v>9.0909090909090939E-2</v>
      </c>
      <c r="M25" s="49" t="s">
        <v>51</v>
      </c>
      <c r="N25" s="20">
        <f>N22-N23</f>
        <v>1</v>
      </c>
    </row>
    <row r="26" spans="1:14" ht="18.600000000000001" thickBot="1">
      <c r="M26" s="50" t="s">
        <v>53</v>
      </c>
      <c r="N26" s="22">
        <f>N25/N22</f>
        <v>9.0909090909090912E-2</v>
      </c>
    </row>
    <row r="27" spans="1:14">
      <c r="C27" s="18"/>
      <c r="D27" s="18"/>
      <c r="E27" s="18"/>
      <c r="F27" s="18"/>
      <c r="G27" s="18"/>
      <c r="H27" s="18"/>
      <c r="I27" s="18"/>
      <c r="J27" s="31"/>
      <c r="K27" s="18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</sheetData>
  <mergeCells count="14">
    <mergeCell ref="O4:O5"/>
    <mergeCell ref="A18:C19"/>
    <mergeCell ref="K18:M19"/>
    <mergeCell ref="M20:N20"/>
    <mergeCell ref="A1:O1"/>
    <mergeCell ref="A2:O2"/>
    <mergeCell ref="A3:C3"/>
    <mergeCell ref="D3:K3"/>
    <mergeCell ref="L3:O3"/>
    <mergeCell ref="A4:A5"/>
    <mergeCell ref="B4:B5"/>
    <mergeCell ref="C4:C5"/>
    <mergeCell ref="M4:M5"/>
    <mergeCell ref="N4:N5"/>
  </mergeCells>
  <phoneticPr fontId="30" type="noConversion"/>
  <conditionalFormatting sqref="D6:G16">
    <cfRule type="cellIs" dxfId="72" priority="2" operator="lessThan">
      <formula>40</formula>
    </cfRule>
  </conditionalFormatting>
  <conditionalFormatting sqref="D23:K23">
    <cfRule type="cellIs" dxfId="71" priority="29" operator="lessThan">
      <formula>0.5</formula>
    </cfRule>
  </conditionalFormatting>
  <conditionalFormatting sqref="H6:K16">
    <cfRule type="cellIs" dxfId="70" priority="3" operator="lessThan">
      <formula>20</formula>
    </cfRule>
  </conditionalFormatting>
  <conditionalFormatting sqref="M6:M16">
    <cfRule type="cellIs" dxfId="69" priority="30" operator="lessThan">
      <formula>80</formula>
    </cfRule>
  </conditionalFormatting>
  <conditionalFormatting sqref="N6:N16">
    <cfRule type="cellIs" dxfId="68" priority="31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zoomScale="70" zoomScaleNormal="70" zoomScaleSheetLayoutView="70" workbookViewId="0">
      <selection activeCell="J13" sqref="C12:J13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87" t="s">
        <v>312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82"/>
      <c r="O5" s="177"/>
    </row>
    <row r="6" spans="1:15" ht="15.6">
      <c r="A6" s="38">
        <v>1</v>
      </c>
      <c r="B6" s="71" t="s">
        <v>304</v>
      </c>
      <c r="C6" s="71" t="s">
        <v>303</v>
      </c>
      <c r="D6" s="108">
        <v>8</v>
      </c>
      <c r="E6" s="108">
        <v>24</v>
      </c>
      <c r="F6" s="108">
        <v>18</v>
      </c>
      <c r="G6" s="108">
        <v>2</v>
      </c>
      <c r="H6" s="108" t="s">
        <v>315</v>
      </c>
      <c r="I6" s="108">
        <v>15.5</v>
      </c>
      <c r="J6" s="108">
        <v>14</v>
      </c>
      <c r="K6" s="108">
        <v>7</v>
      </c>
      <c r="L6" s="75">
        <v>550</v>
      </c>
      <c r="M6" s="58">
        <f t="shared" ref="M6:M31" si="0">SUM(D6:K6)</f>
        <v>88.5</v>
      </c>
      <c r="N6" s="120">
        <f t="shared" ref="N6:N31" si="1">M6/L5</f>
        <v>0.16090909090909092</v>
      </c>
      <c r="O6" s="44" t="str">
        <f t="shared" ref="O6:O31" si="2"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38">
        <v>2</v>
      </c>
      <c r="B7" s="71" t="s">
        <v>170</v>
      </c>
      <c r="C7" s="52" t="s">
        <v>324</v>
      </c>
      <c r="D7" s="108">
        <v>16</v>
      </c>
      <c r="E7" s="108">
        <v>34.5</v>
      </c>
      <c r="F7" s="108">
        <v>35</v>
      </c>
      <c r="G7" s="108">
        <v>22</v>
      </c>
      <c r="H7" s="108" t="s">
        <v>316</v>
      </c>
      <c r="I7" s="108">
        <v>21.5</v>
      </c>
      <c r="J7" s="108">
        <v>24</v>
      </c>
      <c r="K7" s="108">
        <v>9</v>
      </c>
      <c r="L7" s="75">
        <v>550</v>
      </c>
      <c r="M7" s="58">
        <f t="shared" si="0"/>
        <v>162</v>
      </c>
      <c r="N7" s="120">
        <f t="shared" si="1"/>
        <v>0.29454545454545455</v>
      </c>
      <c r="O7" s="44" t="str">
        <f t="shared" si="2"/>
        <v>Needs Attention</v>
      </c>
    </row>
    <row r="8" spans="1:15" ht="15.6">
      <c r="A8" s="38">
        <v>3</v>
      </c>
      <c r="B8" s="71" t="s">
        <v>171</v>
      </c>
      <c r="C8" s="52" t="s">
        <v>172</v>
      </c>
      <c r="D8" s="119" t="s">
        <v>320</v>
      </c>
      <c r="E8" s="119" t="s">
        <v>320</v>
      </c>
      <c r="F8" s="119" t="s">
        <v>320</v>
      </c>
      <c r="G8" s="119" t="s">
        <v>320</v>
      </c>
      <c r="H8" s="119" t="s">
        <v>320</v>
      </c>
      <c r="I8" s="119" t="s">
        <v>320</v>
      </c>
      <c r="J8" s="119" t="s">
        <v>320</v>
      </c>
      <c r="K8" s="119" t="s">
        <v>320</v>
      </c>
      <c r="L8" s="75">
        <v>550</v>
      </c>
      <c r="M8" s="58">
        <f t="shared" si="0"/>
        <v>0</v>
      </c>
      <c r="N8" s="120">
        <f t="shared" si="1"/>
        <v>0</v>
      </c>
      <c r="O8" s="44" t="str">
        <f t="shared" si="2"/>
        <v>Needs Attention</v>
      </c>
    </row>
    <row r="9" spans="1:15" ht="15.6">
      <c r="A9" s="38">
        <v>4</v>
      </c>
      <c r="B9" s="135" t="s">
        <v>90</v>
      </c>
      <c r="C9" s="135" t="s">
        <v>91</v>
      </c>
      <c r="D9" s="108">
        <v>56</v>
      </c>
      <c r="E9" s="108">
        <v>56.5</v>
      </c>
      <c r="F9" s="108">
        <v>82</v>
      </c>
      <c r="G9" s="108">
        <v>81</v>
      </c>
      <c r="H9" s="108" t="s">
        <v>315</v>
      </c>
      <c r="I9" s="108">
        <v>38</v>
      </c>
      <c r="J9" s="108">
        <v>27</v>
      </c>
      <c r="K9" s="108">
        <v>33.5</v>
      </c>
      <c r="L9" s="75">
        <v>550</v>
      </c>
      <c r="M9" s="58">
        <f t="shared" si="0"/>
        <v>374</v>
      </c>
      <c r="N9" s="120">
        <f t="shared" si="1"/>
        <v>0.68</v>
      </c>
      <c r="O9" s="44" t="str">
        <f t="shared" si="2"/>
        <v>Good</v>
      </c>
    </row>
    <row r="10" spans="1:15" ht="15.6">
      <c r="A10" s="38">
        <v>5</v>
      </c>
      <c r="B10" s="71" t="s">
        <v>173</v>
      </c>
      <c r="C10" s="52" t="s">
        <v>174</v>
      </c>
      <c r="D10" s="108">
        <v>63</v>
      </c>
      <c r="E10" s="108">
        <v>67</v>
      </c>
      <c r="F10" s="108">
        <v>75</v>
      </c>
      <c r="G10" s="108">
        <v>42</v>
      </c>
      <c r="H10" s="108" t="s">
        <v>314</v>
      </c>
      <c r="I10" s="108">
        <v>31</v>
      </c>
      <c r="J10" s="108">
        <v>48.5</v>
      </c>
      <c r="K10" s="108">
        <v>44</v>
      </c>
      <c r="L10" s="75">
        <v>550</v>
      </c>
      <c r="M10" s="58">
        <f t="shared" si="0"/>
        <v>370.5</v>
      </c>
      <c r="N10" s="120">
        <f t="shared" si="1"/>
        <v>0.67363636363636359</v>
      </c>
      <c r="O10" s="44" t="str">
        <f t="shared" si="2"/>
        <v>Good</v>
      </c>
    </row>
    <row r="11" spans="1:15" ht="15.6">
      <c r="A11" s="38">
        <v>6</v>
      </c>
      <c r="B11" s="71" t="s">
        <v>175</v>
      </c>
      <c r="C11" s="52" t="s">
        <v>176</v>
      </c>
      <c r="D11" s="108">
        <v>13</v>
      </c>
      <c r="E11" s="108">
        <v>59</v>
      </c>
      <c r="F11" s="108">
        <v>25</v>
      </c>
      <c r="G11" s="108">
        <v>44.5</v>
      </c>
      <c r="H11" s="108" t="s">
        <v>316</v>
      </c>
      <c r="I11" s="108">
        <v>29</v>
      </c>
      <c r="J11" s="108">
        <v>34</v>
      </c>
      <c r="K11" s="108">
        <v>28</v>
      </c>
      <c r="L11" s="75">
        <v>550</v>
      </c>
      <c r="M11" s="58">
        <f t="shared" si="0"/>
        <v>232.5</v>
      </c>
      <c r="N11" s="120">
        <f t="shared" si="1"/>
        <v>0.42272727272727273</v>
      </c>
      <c r="O11" s="44" t="str">
        <f t="shared" si="2"/>
        <v>Fair</v>
      </c>
    </row>
    <row r="12" spans="1:15" ht="15.6">
      <c r="A12" s="38">
        <v>7</v>
      </c>
      <c r="B12" s="135" t="s">
        <v>92</v>
      </c>
      <c r="C12" s="135" t="s">
        <v>88</v>
      </c>
      <c r="D12" s="108">
        <v>37</v>
      </c>
      <c r="E12" s="108">
        <v>3</v>
      </c>
      <c r="F12" s="108">
        <v>30</v>
      </c>
      <c r="G12" s="108">
        <v>63</v>
      </c>
      <c r="H12" s="108" t="s">
        <v>315</v>
      </c>
      <c r="I12" s="108">
        <v>20</v>
      </c>
      <c r="J12" s="108">
        <v>9.5</v>
      </c>
      <c r="K12" s="108">
        <v>15</v>
      </c>
      <c r="L12" s="75">
        <v>550</v>
      </c>
      <c r="M12" s="58">
        <f t="shared" si="0"/>
        <v>177.5</v>
      </c>
      <c r="N12" s="120">
        <f t="shared" si="1"/>
        <v>0.32272727272727275</v>
      </c>
      <c r="O12" s="44" t="str">
        <f t="shared" si="2"/>
        <v>Needs Attention</v>
      </c>
    </row>
    <row r="13" spans="1:15" ht="15.6">
      <c r="A13" s="38">
        <v>8</v>
      </c>
      <c r="B13" s="135" t="s">
        <v>93</v>
      </c>
      <c r="C13" s="135" t="s">
        <v>89</v>
      </c>
      <c r="D13" s="108">
        <v>11</v>
      </c>
      <c r="E13" s="108">
        <v>2</v>
      </c>
      <c r="F13" s="108">
        <v>30</v>
      </c>
      <c r="G13" s="108">
        <v>18</v>
      </c>
      <c r="H13" s="108" t="s">
        <v>316</v>
      </c>
      <c r="I13" s="108">
        <v>20</v>
      </c>
      <c r="J13" s="108">
        <v>8</v>
      </c>
      <c r="K13" s="108">
        <v>20</v>
      </c>
      <c r="L13" s="75">
        <v>550</v>
      </c>
      <c r="M13" s="58">
        <f t="shared" si="0"/>
        <v>109</v>
      </c>
      <c r="N13" s="120">
        <f t="shared" si="1"/>
        <v>0.19818181818181818</v>
      </c>
      <c r="O13" s="44" t="str">
        <f t="shared" si="2"/>
        <v>Needs Attention</v>
      </c>
    </row>
    <row r="14" spans="1:15" ht="15.6">
      <c r="A14" s="38">
        <v>9</v>
      </c>
      <c r="B14" s="71" t="s">
        <v>177</v>
      </c>
      <c r="C14" s="52" t="s">
        <v>178</v>
      </c>
      <c r="D14" s="108">
        <v>53.5</v>
      </c>
      <c r="E14" s="108">
        <v>83.5</v>
      </c>
      <c r="F14" s="108">
        <v>54.5</v>
      </c>
      <c r="G14" s="108">
        <v>31.5</v>
      </c>
      <c r="H14" s="108" t="s">
        <v>315</v>
      </c>
      <c r="I14" s="108">
        <v>40.5</v>
      </c>
      <c r="J14" s="108">
        <v>44.5</v>
      </c>
      <c r="K14" s="108">
        <v>43</v>
      </c>
      <c r="L14" s="75">
        <v>550</v>
      </c>
      <c r="M14" s="58">
        <f t="shared" si="0"/>
        <v>351</v>
      </c>
      <c r="N14" s="120">
        <f t="shared" si="1"/>
        <v>0.63818181818181818</v>
      </c>
      <c r="O14" s="44" t="str">
        <f t="shared" si="2"/>
        <v>Good</v>
      </c>
    </row>
    <row r="15" spans="1:15" ht="15.6">
      <c r="A15" s="38">
        <v>10</v>
      </c>
      <c r="B15" s="71" t="s">
        <v>179</v>
      </c>
      <c r="C15" s="52" t="s">
        <v>180</v>
      </c>
      <c r="D15" s="108">
        <v>37</v>
      </c>
      <c r="E15" s="108">
        <v>62.5</v>
      </c>
      <c r="F15" s="108">
        <v>45.5</v>
      </c>
      <c r="G15" s="108">
        <v>29</v>
      </c>
      <c r="H15" s="108" t="s">
        <v>316</v>
      </c>
      <c r="I15" s="108">
        <v>25</v>
      </c>
      <c r="J15" s="108">
        <v>41</v>
      </c>
      <c r="K15" s="108">
        <v>43.5</v>
      </c>
      <c r="L15" s="75">
        <v>550</v>
      </c>
      <c r="M15" s="58">
        <f t="shared" si="0"/>
        <v>283.5</v>
      </c>
      <c r="N15" s="120">
        <f t="shared" si="1"/>
        <v>0.5154545454545455</v>
      </c>
      <c r="O15" s="44" t="str">
        <f t="shared" si="2"/>
        <v>Satisfactory</v>
      </c>
    </row>
    <row r="16" spans="1:15" ht="15.6">
      <c r="A16" s="38">
        <v>11</v>
      </c>
      <c r="B16" s="125" t="s">
        <v>120</v>
      </c>
      <c r="C16" s="125" t="s">
        <v>121</v>
      </c>
      <c r="D16" s="108">
        <v>67</v>
      </c>
      <c r="E16" s="108">
        <v>88</v>
      </c>
      <c r="F16" s="108">
        <v>84</v>
      </c>
      <c r="G16" s="108">
        <v>66</v>
      </c>
      <c r="H16" s="108" t="s">
        <v>314</v>
      </c>
      <c r="I16" s="108">
        <v>44</v>
      </c>
      <c r="J16" s="108">
        <v>40</v>
      </c>
      <c r="K16" s="108">
        <v>46</v>
      </c>
      <c r="L16" s="75">
        <v>550</v>
      </c>
      <c r="M16" s="58">
        <f t="shared" si="0"/>
        <v>435</v>
      </c>
      <c r="N16" s="120">
        <f t="shared" si="1"/>
        <v>0.79090909090909089</v>
      </c>
      <c r="O16" s="44" t="str">
        <f t="shared" si="2"/>
        <v>Very Good</v>
      </c>
    </row>
    <row r="17" spans="1:15" ht="15.6">
      <c r="A17" s="38">
        <v>12</v>
      </c>
      <c r="B17" s="125" t="s">
        <v>122</v>
      </c>
      <c r="C17" s="125" t="s">
        <v>123</v>
      </c>
      <c r="D17" s="108">
        <v>44</v>
      </c>
      <c r="E17" s="108">
        <v>40.5</v>
      </c>
      <c r="F17" s="108">
        <v>19</v>
      </c>
      <c r="G17" s="108">
        <v>79</v>
      </c>
      <c r="H17" s="108" t="s">
        <v>315</v>
      </c>
      <c r="I17" s="108">
        <v>20</v>
      </c>
      <c r="J17" s="108">
        <v>20</v>
      </c>
      <c r="K17" s="108">
        <v>34</v>
      </c>
      <c r="L17" s="75">
        <v>550</v>
      </c>
      <c r="M17" s="58">
        <f t="shared" si="0"/>
        <v>256.5</v>
      </c>
      <c r="N17" s="120">
        <f t="shared" si="1"/>
        <v>0.46636363636363637</v>
      </c>
      <c r="O17" s="44" t="str">
        <f t="shared" si="2"/>
        <v>Fair</v>
      </c>
    </row>
    <row r="18" spans="1:15" ht="15.6">
      <c r="A18" s="38">
        <v>13</v>
      </c>
      <c r="B18" s="125" t="s">
        <v>124</v>
      </c>
      <c r="C18" s="125" t="s">
        <v>125</v>
      </c>
      <c r="D18" s="108">
        <v>57</v>
      </c>
      <c r="E18" s="108">
        <v>82</v>
      </c>
      <c r="F18" s="108">
        <v>80.5</v>
      </c>
      <c r="G18" s="108">
        <v>73.5</v>
      </c>
      <c r="H18" s="108" t="s">
        <v>314</v>
      </c>
      <c r="I18" s="108">
        <v>40</v>
      </c>
      <c r="J18" s="108">
        <v>36</v>
      </c>
      <c r="K18" s="108">
        <v>35</v>
      </c>
      <c r="L18" s="75">
        <v>550</v>
      </c>
      <c r="M18" s="58">
        <f t="shared" si="0"/>
        <v>404</v>
      </c>
      <c r="N18" s="120">
        <f t="shared" si="1"/>
        <v>0.7345454545454545</v>
      </c>
      <c r="O18" s="44" t="str">
        <f t="shared" si="2"/>
        <v>Very Good</v>
      </c>
    </row>
    <row r="19" spans="1:15" ht="15.6">
      <c r="A19" s="38">
        <v>14</v>
      </c>
      <c r="B19" s="125" t="s">
        <v>126</v>
      </c>
      <c r="C19" s="125" t="s">
        <v>127</v>
      </c>
      <c r="D19" s="108">
        <v>54.5</v>
      </c>
      <c r="E19" s="108">
        <v>55</v>
      </c>
      <c r="F19" s="108">
        <v>44</v>
      </c>
      <c r="G19" s="108">
        <v>64</v>
      </c>
      <c r="H19" s="108" t="s">
        <v>315</v>
      </c>
      <c r="I19" s="108">
        <v>20</v>
      </c>
      <c r="J19" s="108">
        <v>20</v>
      </c>
      <c r="K19" s="108">
        <v>43</v>
      </c>
      <c r="L19" s="75">
        <v>550</v>
      </c>
      <c r="M19" s="58">
        <f t="shared" si="0"/>
        <v>300.5</v>
      </c>
      <c r="N19" s="120">
        <f t="shared" si="1"/>
        <v>0.54636363636363638</v>
      </c>
      <c r="O19" s="44" t="str">
        <f t="shared" si="2"/>
        <v>Satisfactory</v>
      </c>
    </row>
    <row r="20" spans="1:15" ht="15.6">
      <c r="A20" s="38">
        <v>15</v>
      </c>
      <c r="B20" s="71" t="s">
        <v>181</v>
      </c>
      <c r="C20" s="52" t="s">
        <v>182</v>
      </c>
      <c r="D20" s="108">
        <v>18</v>
      </c>
      <c r="E20" s="108">
        <v>23.5</v>
      </c>
      <c r="F20" s="108">
        <v>40</v>
      </c>
      <c r="G20" s="108">
        <v>21</v>
      </c>
      <c r="H20" s="108" t="s">
        <v>316</v>
      </c>
      <c r="I20" s="108">
        <v>27</v>
      </c>
      <c r="J20" s="108">
        <v>20</v>
      </c>
      <c r="K20" s="108">
        <v>11</v>
      </c>
      <c r="L20" s="75">
        <v>550</v>
      </c>
      <c r="M20" s="58">
        <f t="shared" si="0"/>
        <v>160.5</v>
      </c>
      <c r="N20" s="120">
        <f t="shared" si="1"/>
        <v>0.29181818181818181</v>
      </c>
      <c r="O20" s="44" t="str">
        <f t="shared" si="2"/>
        <v>Needs Attention</v>
      </c>
    </row>
    <row r="21" spans="1:15" ht="15.6">
      <c r="A21" s="38">
        <v>16</v>
      </c>
      <c r="B21" s="71" t="s">
        <v>183</v>
      </c>
      <c r="C21" s="52" t="s">
        <v>184</v>
      </c>
      <c r="D21" s="108">
        <v>56</v>
      </c>
      <c r="E21" s="108">
        <v>83</v>
      </c>
      <c r="F21" s="108">
        <v>71.5</v>
      </c>
      <c r="G21" s="108">
        <v>40.5</v>
      </c>
      <c r="H21" s="108" t="s">
        <v>314</v>
      </c>
      <c r="I21" s="108">
        <v>25</v>
      </c>
      <c r="J21" s="108">
        <v>41</v>
      </c>
      <c r="K21" s="108">
        <v>37.5</v>
      </c>
      <c r="L21" s="75">
        <v>550</v>
      </c>
      <c r="M21" s="58">
        <f t="shared" si="0"/>
        <v>354.5</v>
      </c>
      <c r="N21" s="120">
        <f t="shared" si="1"/>
        <v>0.64454545454545453</v>
      </c>
      <c r="O21" s="44" t="str">
        <f t="shared" si="2"/>
        <v>Good</v>
      </c>
    </row>
    <row r="22" spans="1:15" ht="15.6">
      <c r="A22" s="38">
        <v>17</v>
      </c>
      <c r="B22" s="71" t="s">
        <v>185</v>
      </c>
      <c r="C22" s="52" t="s">
        <v>186</v>
      </c>
      <c r="D22" s="108">
        <v>67</v>
      </c>
      <c r="E22" s="108">
        <v>99.5</v>
      </c>
      <c r="F22" s="108">
        <v>87</v>
      </c>
      <c r="G22" s="108">
        <v>67.5</v>
      </c>
      <c r="H22" s="108" t="s">
        <v>314</v>
      </c>
      <c r="I22" s="108">
        <v>49</v>
      </c>
      <c r="J22" s="108">
        <v>50</v>
      </c>
      <c r="K22" s="108">
        <v>49</v>
      </c>
      <c r="L22" s="75">
        <v>550</v>
      </c>
      <c r="M22" s="58">
        <f t="shared" si="0"/>
        <v>469</v>
      </c>
      <c r="N22" s="120">
        <f t="shared" si="1"/>
        <v>0.85272727272727278</v>
      </c>
      <c r="O22" s="44" t="str">
        <f t="shared" si="2"/>
        <v>Outstanding</v>
      </c>
    </row>
    <row r="23" spans="1:15" ht="15.6">
      <c r="A23" s="38">
        <v>18</v>
      </c>
      <c r="B23" s="71" t="s">
        <v>187</v>
      </c>
      <c r="C23" s="52" t="s">
        <v>188</v>
      </c>
      <c r="D23" s="108">
        <v>23</v>
      </c>
      <c r="E23" s="108">
        <v>19.5</v>
      </c>
      <c r="F23" s="108">
        <v>30</v>
      </c>
      <c r="G23" s="108">
        <v>35</v>
      </c>
      <c r="H23" s="108" t="s">
        <v>315</v>
      </c>
      <c r="I23" s="108">
        <v>23.5</v>
      </c>
      <c r="J23" s="108">
        <v>30.5</v>
      </c>
      <c r="K23" s="108">
        <v>18.5</v>
      </c>
      <c r="L23" s="75">
        <v>550</v>
      </c>
      <c r="M23" s="58">
        <f t="shared" si="0"/>
        <v>180</v>
      </c>
      <c r="N23" s="120">
        <f t="shared" si="1"/>
        <v>0.32727272727272727</v>
      </c>
      <c r="O23" s="44" t="str">
        <f t="shared" si="2"/>
        <v>Needs Attention</v>
      </c>
    </row>
    <row r="24" spans="1:15" ht="15.6">
      <c r="A24" s="38">
        <v>19</v>
      </c>
      <c r="B24" s="135" t="s">
        <v>299</v>
      </c>
      <c r="C24" s="125" t="s">
        <v>302</v>
      </c>
      <c r="D24" s="119" t="s">
        <v>320</v>
      </c>
      <c r="E24" s="119" t="s">
        <v>320</v>
      </c>
      <c r="F24" s="119" t="s">
        <v>320</v>
      </c>
      <c r="G24" s="119" t="s">
        <v>320</v>
      </c>
      <c r="H24" s="108" t="s">
        <v>314</v>
      </c>
      <c r="I24" s="119" t="s">
        <v>320</v>
      </c>
      <c r="J24" s="119" t="s">
        <v>320</v>
      </c>
      <c r="K24" s="119" t="s">
        <v>320</v>
      </c>
      <c r="L24" s="75">
        <v>550</v>
      </c>
      <c r="M24" s="58">
        <f t="shared" si="0"/>
        <v>0</v>
      </c>
      <c r="N24" s="120">
        <f t="shared" si="1"/>
        <v>0</v>
      </c>
      <c r="O24" s="44" t="str">
        <f t="shared" si="2"/>
        <v>Needs Attention</v>
      </c>
    </row>
    <row r="25" spans="1:15" ht="15.6">
      <c r="A25" s="38">
        <v>20</v>
      </c>
      <c r="B25" s="135" t="s">
        <v>297</v>
      </c>
      <c r="C25" s="125" t="s">
        <v>298</v>
      </c>
      <c r="D25" s="119" t="s">
        <v>320</v>
      </c>
      <c r="E25" s="119" t="s">
        <v>320</v>
      </c>
      <c r="F25" s="119" t="s">
        <v>320</v>
      </c>
      <c r="G25" s="119" t="s">
        <v>320</v>
      </c>
      <c r="H25" s="108" t="s">
        <v>314</v>
      </c>
      <c r="I25" s="119" t="s">
        <v>320</v>
      </c>
      <c r="J25" s="119" t="s">
        <v>320</v>
      </c>
      <c r="K25" s="119" t="s">
        <v>320</v>
      </c>
      <c r="L25" s="75">
        <v>550</v>
      </c>
      <c r="M25" s="58">
        <f t="shared" si="0"/>
        <v>0</v>
      </c>
      <c r="N25" s="120">
        <f t="shared" si="1"/>
        <v>0</v>
      </c>
      <c r="O25" s="44" t="str">
        <f t="shared" si="2"/>
        <v>Needs Attention</v>
      </c>
    </row>
    <row r="26" spans="1:15" ht="15.6">
      <c r="A26" s="38">
        <v>21</v>
      </c>
      <c r="B26" s="71" t="s">
        <v>189</v>
      </c>
      <c r="C26" s="71" t="s">
        <v>190</v>
      </c>
      <c r="D26" s="108">
        <v>87</v>
      </c>
      <c r="E26" s="108">
        <v>95</v>
      </c>
      <c r="F26" s="108">
        <v>95</v>
      </c>
      <c r="G26" s="108">
        <v>64</v>
      </c>
      <c r="H26" s="108" t="s">
        <v>314</v>
      </c>
      <c r="I26" s="108">
        <v>49</v>
      </c>
      <c r="J26" s="108">
        <v>50</v>
      </c>
      <c r="K26" s="108">
        <v>49.5</v>
      </c>
      <c r="L26" s="75">
        <v>550</v>
      </c>
      <c r="M26" s="58">
        <f t="shared" si="0"/>
        <v>489.5</v>
      </c>
      <c r="N26" s="120">
        <f t="shared" si="1"/>
        <v>0.89</v>
      </c>
      <c r="O26" s="44" t="str">
        <f t="shared" si="2"/>
        <v>Outstanding</v>
      </c>
    </row>
    <row r="27" spans="1:15" ht="15.6">
      <c r="A27" s="38">
        <v>22</v>
      </c>
      <c r="B27" s="71" t="s">
        <v>191</v>
      </c>
      <c r="C27" s="71" t="s">
        <v>325</v>
      </c>
      <c r="D27" s="108">
        <v>26</v>
      </c>
      <c r="E27" s="108">
        <v>32.5</v>
      </c>
      <c r="F27" s="108">
        <v>40</v>
      </c>
      <c r="G27" s="108">
        <v>33</v>
      </c>
      <c r="H27" s="108" t="s">
        <v>316</v>
      </c>
      <c r="I27" s="108">
        <v>28.5</v>
      </c>
      <c r="J27" s="108">
        <v>37.5</v>
      </c>
      <c r="K27" s="108">
        <v>21</v>
      </c>
      <c r="L27" s="75">
        <v>550</v>
      </c>
      <c r="M27" s="58">
        <f t="shared" si="0"/>
        <v>218.5</v>
      </c>
      <c r="N27" s="120">
        <f t="shared" si="1"/>
        <v>0.39727272727272728</v>
      </c>
      <c r="O27" s="44" t="str">
        <f t="shared" si="2"/>
        <v>Needs Attention</v>
      </c>
    </row>
    <row r="28" spans="1:15" ht="15.6">
      <c r="A28" s="38">
        <v>23</v>
      </c>
      <c r="B28" s="71" t="s">
        <v>192</v>
      </c>
      <c r="C28" s="52" t="s">
        <v>193</v>
      </c>
      <c r="D28" s="108">
        <v>60</v>
      </c>
      <c r="E28" s="108">
        <v>91</v>
      </c>
      <c r="F28" s="108">
        <v>83.5</v>
      </c>
      <c r="G28" s="108">
        <v>54</v>
      </c>
      <c r="H28" s="108" t="s">
        <v>314</v>
      </c>
      <c r="I28" s="108">
        <v>44</v>
      </c>
      <c r="J28" s="108">
        <v>47</v>
      </c>
      <c r="K28" s="108">
        <v>38.5</v>
      </c>
      <c r="L28" s="75">
        <v>550</v>
      </c>
      <c r="M28" s="58">
        <f t="shared" si="0"/>
        <v>418</v>
      </c>
      <c r="N28" s="120">
        <f t="shared" si="1"/>
        <v>0.76</v>
      </c>
      <c r="O28" s="44" t="str">
        <f t="shared" si="2"/>
        <v>Very Good</v>
      </c>
    </row>
    <row r="29" spans="1:15" ht="15.6">
      <c r="A29" s="38">
        <v>24</v>
      </c>
      <c r="B29" s="125" t="s">
        <v>155</v>
      </c>
      <c r="C29" s="125" t="s">
        <v>156</v>
      </c>
      <c r="D29" s="108">
        <v>69</v>
      </c>
      <c r="E29" s="108">
        <v>91.5</v>
      </c>
      <c r="F29" s="108">
        <v>89</v>
      </c>
      <c r="G29" s="108">
        <v>80</v>
      </c>
      <c r="H29" s="108" t="s">
        <v>314</v>
      </c>
      <c r="I29" s="108">
        <v>48</v>
      </c>
      <c r="J29" s="108">
        <v>48</v>
      </c>
      <c r="K29" s="108">
        <v>50</v>
      </c>
      <c r="L29" s="75">
        <v>550</v>
      </c>
      <c r="M29" s="58">
        <f t="shared" si="0"/>
        <v>475.5</v>
      </c>
      <c r="N29" s="120">
        <f t="shared" si="1"/>
        <v>0.86454545454545451</v>
      </c>
      <c r="O29" s="44" t="str">
        <f t="shared" si="2"/>
        <v>Outstanding</v>
      </c>
    </row>
    <row r="30" spans="1:15" ht="15.6">
      <c r="A30" s="38">
        <v>25</v>
      </c>
      <c r="B30" s="71" t="s">
        <v>196</v>
      </c>
      <c r="C30" s="52" t="s">
        <v>197</v>
      </c>
      <c r="D30" s="108">
        <v>24</v>
      </c>
      <c r="E30" s="108">
        <v>72.5</v>
      </c>
      <c r="F30" s="108">
        <v>64.5</v>
      </c>
      <c r="G30" s="108">
        <v>26.5</v>
      </c>
      <c r="H30" s="108" t="s">
        <v>316</v>
      </c>
      <c r="I30" s="108">
        <v>30</v>
      </c>
      <c r="J30" s="108">
        <v>27.5</v>
      </c>
      <c r="K30" s="108">
        <v>42.5</v>
      </c>
      <c r="L30" s="75">
        <v>550</v>
      </c>
      <c r="M30" s="58">
        <f t="shared" si="0"/>
        <v>287.5</v>
      </c>
      <c r="N30" s="120">
        <f t="shared" si="1"/>
        <v>0.52272727272727271</v>
      </c>
      <c r="O30" s="44" t="str">
        <f t="shared" si="2"/>
        <v>Satisfactory</v>
      </c>
    </row>
    <row r="31" spans="1:15" ht="16.2" thickBot="1">
      <c r="A31" s="40">
        <v>26</v>
      </c>
      <c r="B31" s="73" t="s">
        <v>198</v>
      </c>
      <c r="C31" s="91" t="s">
        <v>326</v>
      </c>
      <c r="D31" s="109">
        <v>25</v>
      </c>
      <c r="E31" s="109">
        <v>50.5</v>
      </c>
      <c r="F31" s="109">
        <v>32.5</v>
      </c>
      <c r="G31" s="109">
        <v>20.5</v>
      </c>
      <c r="H31" s="109" t="s">
        <v>315</v>
      </c>
      <c r="I31" s="109">
        <v>28</v>
      </c>
      <c r="J31" s="109">
        <v>31.5</v>
      </c>
      <c r="K31" s="109">
        <v>14</v>
      </c>
      <c r="L31" s="45">
        <v>550</v>
      </c>
      <c r="M31" s="59">
        <f t="shared" si="0"/>
        <v>202</v>
      </c>
      <c r="N31" s="121">
        <f t="shared" si="1"/>
        <v>0.36727272727272725</v>
      </c>
      <c r="O31" s="47" t="str">
        <f t="shared" si="2"/>
        <v>Needs Attention</v>
      </c>
    </row>
    <row r="33" spans="1:22">
      <c r="A33" s="173" t="s">
        <v>40</v>
      </c>
      <c r="B33" s="174"/>
      <c r="C33" s="174"/>
      <c r="K33" s="173" t="s">
        <v>113</v>
      </c>
      <c r="L33" s="174"/>
      <c r="M33" s="174"/>
    </row>
    <row r="34" spans="1:22" ht="51.6" customHeight="1">
      <c r="A34" s="174"/>
      <c r="B34" s="174"/>
      <c r="C34" s="174"/>
      <c r="K34" s="174"/>
      <c r="L34" s="174"/>
      <c r="M34" s="174"/>
    </row>
    <row r="35" spans="1:22" ht="18">
      <c r="M35" s="183" t="s">
        <v>313</v>
      </c>
      <c r="N35" s="148"/>
    </row>
    <row r="36" spans="1:22" ht="18">
      <c r="C36" s="2" t="s">
        <v>45</v>
      </c>
      <c r="D36" s="3" t="s">
        <v>46</v>
      </c>
      <c r="E36" s="3" t="s">
        <v>7</v>
      </c>
      <c r="F36" s="3" t="s">
        <v>166</v>
      </c>
      <c r="G36" s="3" t="s">
        <v>8</v>
      </c>
      <c r="H36" s="3" t="s">
        <v>57</v>
      </c>
      <c r="I36" s="3" t="s">
        <v>199</v>
      </c>
      <c r="J36" s="26" t="s">
        <v>85</v>
      </c>
      <c r="K36" s="26" t="s">
        <v>59</v>
      </c>
      <c r="M36" s="48" t="s">
        <v>43</v>
      </c>
      <c r="N36" s="63">
        <v>26</v>
      </c>
    </row>
    <row r="37" spans="1:22" ht="18">
      <c r="C37" s="7" t="s">
        <v>48</v>
      </c>
      <c r="D37" s="110">
        <f>23-D39</f>
        <v>13</v>
      </c>
      <c r="E37" s="110">
        <f t="shared" ref="E37:K37" si="3">23-E39</f>
        <v>18</v>
      </c>
      <c r="F37" s="110">
        <f t="shared" si="3"/>
        <v>17</v>
      </c>
      <c r="G37" s="110">
        <f t="shared" si="3"/>
        <v>13</v>
      </c>
      <c r="H37" s="110">
        <f t="shared" si="3"/>
        <v>23</v>
      </c>
      <c r="I37" s="110">
        <f t="shared" si="3"/>
        <v>22</v>
      </c>
      <c r="J37" s="110">
        <f t="shared" si="3"/>
        <v>22</v>
      </c>
      <c r="K37" s="110">
        <f t="shared" si="3"/>
        <v>17</v>
      </c>
      <c r="M37" s="49" t="s">
        <v>44</v>
      </c>
      <c r="N37" s="63">
        <v>23</v>
      </c>
    </row>
    <row r="38" spans="1:22" ht="18">
      <c r="C38" s="10" t="s">
        <v>50</v>
      </c>
      <c r="D38" s="11">
        <f>D37/23</f>
        <v>0.56521739130434778</v>
      </c>
      <c r="E38" s="11">
        <f t="shared" ref="E38:K38" si="4">E37/23</f>
        <v>0.78260869565217395</v>
      </c>
      <c r="F38" s="11">
        <f t="shared" si="4"/>
        <v>0.73913043478260865</v>
      </c>
      <c r="G38" s="11">
        <f t="shared" si="4"/>
        <v>0.56521739130434778</v>
      </c>
      <c r="H38" s="11">
        <f t="shared" si="4"/>
        <v>1</v>
      </c>
      <c r="I38" s="11">
        <f t="shared" si="4"/>
        <v>0.95652173913043481</v>
      </c>
      <c r="J38" s="11">
        <f t="shared" si="4"/>
        <v>0.95652173913043481</v>
      </c>
      <c r="K38" s="11">
        <f t="shared" si="4"/>
        <v>0.73913043478260865</v>
      </c>
      <c r="M38" s="49" t="s">
        <v>47</v>
      </c>
      <c r="N38" s="63">
        <v>15</v>
      </c>
    </row>
    <row r="39" spans="1:22" ht="18">
      <c r="C39" s="10" t="s">
        <v>52</v>
      </c>
      <c r="D39" s="61">
        <v>10</v>
      </c>
      <c r="E39" s="61">
        <v>5</v>
      </c>
      <c r="F39" s="61">
        <v>6</v>
      </c>
      <c r="G39" s="61">
        <v>10</v>
      </c>
      <c r="H39" s="61">
        <v>0</v>
      </c>
      <c r="I39" s="61">
        <v>1</v>
      </c>
      <c r="J39" s="61">
        <v>1</v>
      </c>
      <c r="K39" s="66">
        <v>6</v>
      </c>
      <c r="M39" s="49" t="s">
        <v>49</v>
      </c>
      <c r="N39" s="21">
        <f>N38/N37</f>
        <v>0.65217391304347827</v>
      </c>
    </row>
    <row r="40" spans="1:22" ht="18">
      <c r="C40" s="14" t="s">
        <v>54</v>
      </c>
      <c r="D40" s="15">
        <f t="shared" ref="D40:K40" si="5">100%-D38</f>
        <v>0.43478260869565222</v>
      </c>
      <c r="E40" s="15">
        <f t="shared" si="5"/>
        <v>0.21739130434782605</v>
      </c>
      <c r="F40" s="15">
        <f t="shared" si="5"/>
        <v>0.26086956521739135</v>
      </c>
      <c r="G40" s="15">
        <f t="shared" si="5"/>
        <v>0.43478260869565222</v>
      </c>
      <c r="H40" s="15">
        <f t="shared" si="5"/>
        <v>0</v>
      </c>
      <c r="I40" s="15">
        <f t="shared" si="5"/>
        <v>4.3478260869565188E-2</v>
      </c>
      <c r="J40" s="15">
        <f t="shared" si="5"/>
        <v>4.3478260869565188E-2</v>
      </c>
      <c r="K40" s="30">
        <f t="shared" si="5"/>
        <v>0.26086956521739135</v>
      </c>
      <c r="M40" s="49" t="s">
        <v>51</v>
      </c>
      <c r="N40" s="20">
        <f>N37-N38</f>
        <v>8</v>
      </c>
    </row>
    <row r="41" spans="1:22" ht="18">
      <c r="M41" s="50" t="s">
        <v>53</v>
      </c>
      <c r="N41" s="22">
        <f>N40/N37</f>
        <v>0.34782608695652173</v>
      </c>
      <c r="V41">
        <f>'Class VII'!J7</f>
        <v>39.5</v>
      </c>
    </row>
    <row r="42" spans="1:22">
      <c r="C42" s="18"/>
      <c r="D42" s="18"/>
      <c r="E42" s="18"/>
      <c r="F42" s="18"/>
      <c r="G42" s="18"/>
      <c r="H42" s="18"/>
      <c r="I42" s="18"/>
      <c r="J42" s="31"/>
      <c r="K42" s="18"/>
    </row>
    <row r="43" spans="1:22" ht="18">
      <c r="E43" s="19"/>
    </row>
    <row r="44" spans="1:22" ht="18">
      <c r="E44" s="19"/>
    </row>
    <row r="45" spans="1:22" ht="18">
      <c r="E45" s="19"/>
    </row>
    <row r="46" spans="1:22" ht="18">
      <c r="E46" s="19"/>
    </row>
    <row r="47" spans="1:22" ht="18">
      <c r="E47" s="19"/>
    </row>
    <row r="48" spans="1:22" ht="18">
      <c r="E48" s="19"/>
    </row>
    <row r="49" spans="5:5" ht="18">
      <c r="E49" s="19"/>
    </row>
  </sheetData>
  <sortState xmlns:xlrd2="http://schemas.microsoft.com/office/spreadsheetml/2017/richdata2" ref="B7:O31">
    <sortCondition ref="B6:B31"/>
  </sortState>
  <mergeCells count="14">
    <mergeCell ref="A1:O1"/>
    <mergeCell ref="A2:O2"/>
    <mergeCell ref="A3:C3"/>
    <mergeCell ref="D3:K3"/>
    <mergeCell ref="L3:O3"/>
    <mergeCell ref="O4:O5"/>
    <mergeCell ref="A33:C34"/>
    <mergeCell ref="K33:M34"/>
    <mergeCell ref="M35:N35"/>
    <mergeCell ref="A4:A5"/>
    <mergeCell ref="B4:B5"/>
    <mergeCell ref="C4:C5"/>
    <mergeCell ref="M4:M5"/>
    <mergeCell ref="N4:N5"/>
  </mergeCells>
  <phoneticPr fontId="19" type="noConversion"/>
  <conditionalFormatting sqref="D6:G7">
    <cfRule type="cellIs" dxfId="67" priority="15" operator="lessThan">
      <formula>40</formula>
    </cfRule>
  </conditionalFormatting>
  <conditionalFormatting sqref="D9:G31">
    <cfRule type="cellIs" dxfId="66" priority="2" operator="lessThan">
      <formula>40</formula>
    </cfRule>
  </conditionalFormatting>
  <conditionalFormatting sqref="D38:K38">
    <cfRule type="cellIs" dxfId="65" priority="16" operator="lessThan">
      <formula>0.5</formula>
    </cfRule>
  </conditionalFormatting>
  <conditionalFormatting sqref="H24:H25">
    <cfRule type="cellIs" dxfId="64" priority="6" operator="lessThan">
      <formula>20</formula>
    </cfRule>
  </conditionalFormatting>
  <conditionalFormatting sqref="H6:K7 D8:K8 H9:K23 H26:K31">
    <cfRule type="cellIs" dxfId="63" priority="14" operator="lessThan">
      <formula>20</formula>
    </cfRule>
  </conditionalFormatting>
  <conditionalFormatting sqref="I24:K25">
    <cfRule type="cellIs" dxfId="62" priority="5" operator="lessThan">
      <formula>40</formula>
    </cfRule>
  </conditionalFormatting>
  <conditionalFormatting sqref="M6:M31">
    <cfRule type="cellIs" dxfId="61" priority="18" operator="lessThan">
      <formula>80</formula>
    </cfRule>
  </conditionalFormatting>
  <conditionalFormatting sqref="N6:N31">
    <cfRule type="cellIs" dxfId="60" priority="19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zoomScale="85" zoomScaleNormal="85" workbookViewId="0">
      <selection activeCell="A16" sqref="A16:C17"/>
    </sheetView>
  </sheetViews>
  <sheetFormatPr defaultColWidth="9" defaultRowHeight="14.4"/>
  <cols>
    <col min="2" max="2" width="17.109375" customWidth="1"/>
    <col min="3" max="3" width="27.44140625" customWidth="1"/>
    <col min="13" max="13" width="19" customWidth="1"/>
    <col min="14" max="14" width="9" customWidth="1"/>
    <col min="15" max="15" width="19.21875" customWidth="1"/>
  </cols>
  <sheetData>
    <row r="1" spans="1:15" ht="23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9.4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200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199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56"/>
      <c r="O5" s="158"/>
    </row>
    <row r="6" spans="1:15" ht="15.6">
      <c r="A6" s="51">
        <v>1</v>
      </c>
      <c r="B6" s="52" t="s">
        <v>214</v>
      </c>
      <c r="C6" s="53" t="s">
        <v>215</v>
      </c>
      <c r="D6" s="108">
        <v>30</v>
      </c>
      <c r="E6" s="108">
        <v>50</v>
      </c>
      <c r="F6" s="108">
        <v>54</v>
      </c>
      <c r="G6" s="108">
        <v>57.5</v>
      </c>
      <c r="H6" s="108" t="s">
        <v>315</v>
      </c>
      <c r="I6" s="108">
        <v>0</v>
      </c>
      <c r="J6" s="108">
        <v>38.5</v>
      </c>
      <c r="K6" s="108">
        <v>34.5</v>
      </c>
      <c r="L6" s="75">
        <v>550</v>
      </c>
      <c r="M6" s="54">
        <f>SUM(D6:K6)</f>
        <v>264.5</v>
      </c>
      <c r="N6" s="116">
        <f>M6/L15</f>
        <v>0.4809090909090909</v>
      </c>
      <c r="O6" s="44" t="str">
        <f t="shared" ref="O6:O15" si="0">IF(N6&gt;=85%,"Outstanding",IF(N6&gt;=80%,"Excellent",IF(N6&gt;=70%,"Very Good",IF(N6&gt;=60%,"Good",IF(N6&gt;=50%,"Satisfactory",IF(N6&gt;=40%,"Fair","Needs Attention"))))))</f>
        <v>Fair</v>
      </c>
    </row>
    <row r="7" spans="1:15" ht="15.6">
      <c r="A7" s="51">
        <v>2</v>
      </c>
      <c r="B7" s="52" t="s">
        <v>201</v>
      </c>
      <c r="C7" s="53" t="s">
        <v>202</v>
      </c>
      <c r="D7" s="108">
        <v>40</v>
      </c>
      <c r="E7" s="108">
        <v>48</v>
      </c>
      <c r="F7" s="108">
        <v>42</v>
      </c>
      <c r="G7" s="108">
        <v>31</v>
      </c>
      <c r="H7" s="129" t="s">
        <v>315</v>
      </c>
      <c r="I7" s="108">
        <v>23</v>
      </c>
      <c r="J7" s="108">
        <v>28.5</v>
      </c>
      <c r="K7" s="108">
        <v>20</v>
      </c>
      <c r="L7" s="75">
        <v>550</v>
      </c>
      <c r="M7" s="54">
        <f>SUM(D7:K7)</f>
        <v>232.5</v>
      </c>
      <c r="N7" s="116">
        <f>M7/L5</f>
        <v>0.42272727272727273</v>
      </c>
      <c r="O7" s="44" t="str">
        <f t="shared" si="0"/>
        <v>Fair</v>
      </c>
    </row>
    <row r="8" spans="1:15" ht="15.6">
      <c r="A8" s="51">
        <v>3</v>
      </c>
      <c r="B8" s="52" t="s">
        <v>203</v>
      </c>
      <c r="C8" s="53" t="s">
        <v>137</v>
      </c>
      <c r="D8" s="108">
        <v>52</v>
      </c>
      <c r="E8" s="108">
        <v>81.5</v>
      </c>
      <c r="F8" s="108">
        <v>60.5</v>
      </c>
      <c r="G8" s="108">
        <v>38</v>
      </c>
      <c r="H8" s="129" t="s">
        <v>316</v>
      </c>
      <c r="I8" s="108">
        <v>29.5</v>
      </c>
      <c r="J8" s="108">
        <v>34</v>
      </c>
      <c r="K8" s="108">
        <v>34</v>
      </c>
      <c r="L8" s="75">
        <v>550</v>
      </c>
      <c r="M8" s="54">
        <f t="shared" ref="M8:M15" si="1">SUM(D8:K8)</f>
        <v>329.5</v>
      </c>
      <c r="N8" s="116">
        <f t="shared" ref="N8:N10" si="2">M8/L7</f>
        <v>0.59909090909090912</v>
      </c>
      <c r="O8" s="44" t="str">
        <f t="shared" si="0"/>
        <v>Satisfactory</v>
      </c>
    </row>
    <row r="9" spans="1:15" ht="15.6">
      <c r="A9" s="51">
        <v>4</v>
      </c>
      <c r="B9" s="52" t="s">
        <v>204</v>
      </c>
      <c r="C9" s="53" t="s">
        <v>205</v>
      </c>
      <c r="D9" s="108">
        <v>19</v>
      </c>
      <c r="E9" s="108">
        <v>62</v>
      </c>
      <c r="F9" s="108">
        <v>26.5</v>
      </c>
      <c r="G9" s="108">
        <v>29</v>
      </c>
      <c r="H9" s="108" t="s">
        <v>316</v>
      </c>
      <c r="I9" s="108">
        <v>7</v>
      </c>
      <c r="J9" s="108">
        <v>35.5</v>
      </c>
      <c r="K9" s="108">
        <v>24</v>
      </c>
      <c r="L9" s="75">
        <v>550</v>
      </c>
      <c r="M9" s="54">
        <f t="shared" si="1"/>
        <v>203</v>
      </c>
      <c r="N9" s="116">
        <f>M9/L8</f>
        <v>0.36909090909090908</v>
      </c>
      <c r="O9" s="44" t="str">
        <f t="shared" si="0"/>
        <v>Needs Attention</v>
      </c>
    </row>
    <row r="10" spans="1:15" ht="15.6">
      <c r="A10" s="51">
        <v>5</v>
      </c>
      <c r="B10" s="52" t="s">
        <v>206</v>
      </c>
      <c r="C10" s="53" t="s">
        <v>207</v>
      </c>
      <c r="D10" s="108">
        <v>27.5</v>
      </c>
      <c r="E10" s="108">
        <v>53.5</v>
      </c>
      <c r="F10" s="108">
        <v>42.5</v>
      </c>
      <c r="G10" s="108">
        <v>52</v>
      </c>
      <c r="H10" s="108" t="s">
        <v>319</v>
      </c>
      <c r="I10" s="108">
        <v>26.5</v>
      </c>
      <c r="J10" s="108">
        <v>30</v>
      </c>
      <c r="K10" s="108">
        <v>18</v>
      </c>
      <c r="L10" s="75">
        <v>550</v>
      </c>
      <c r="M10" s="54">
        <f t="shared" si="1"/>
        <v>250</v>
      </c>
      <c r="N10" s="116">
        <f t="shared" si="2"/>
        <v>0.45454545454545453</v>
      </c>
      <c r="O10" s="44" t="str">
        <f t="shared" si="0"/>
        <v>Fair</v>
      </c>
    </row>
    <row r="11" spans="1:15" ht="15.6">
      <c r="A11" s="51">
        <v>6</v>
      </c>
      <c r="B11" s="52" t="s">
        <v>216</v>
      </c>
      <c r="C11" s="53" t="s">
        <v>217</v>
      </c>
      <c r="D11" s="108">
        <v>72.5</v>
      </c>
      <c r="E11" s="108">
        <v>89.5</v>
      </c>
      <c r="F11" s="108">
        <v>70.5</v>
      </c>
      <c r="G11" s="108">
        <v>69</v>
      </c>
      <c r="H11" s="108" t="s">
        <v>316</v>
      </c>
      <c r="I11" s="108">
        <v>39</v>
      </c>
      <c r="J11" s="108">
        <v>47</v>
      </c>
      <c r="K11" s="108">
        <v>33</v>
      </c>
      <c r="L11" s="75">
        <v>550</v>
      </c>
      <c r="M11" s="54">
        <f>SUM(D11:K11)</f>
        <v>420.5</v>
      </c>
      <c r="N11" s="116">
        <f>M11/'Class VII'!L8</f>
        <v>0.76454545454545453</v>
      </c>
      <c r="O11" s="44" t="str">
        <f t="shared" si="0"/>
        <v>Very Good</v>
      </c>
    </row>
    <row r="12" spans="1:15" ht="15.6">
      <c r="A12" s="51">
        <v>7</v>
      </c>
      <c r="B12" s="52" t="s">
        <v>208</v>
      </c>
      <c r="C12" s="53" t="s">
        <v>209</v>
      </c>
      <c r="D12" s="108">
        <v>57.5</v>
      </c>
      <c r="E12" s="108">
        <v>88.5</v>
      </c>
      <c r="F12" s="108">
        <v>70.5</v>
      </c>
      <c r="G12" s="108">
        <v>79</v>
      </c>
      <c r="H12" s="108" t="s">
        <v>314</v>
      </c>
      <c r="I12" s="108">
        <v>31</v>
      </c>
      <c r="J12" s="108">
        <v>49</v>
      </c>
      <c r="K12" s="108">
        <v>34.5</v>
      </c>
      <c r="L12" s="75">
        <v>550</v>
      </c>
      <c r="M12" s="54">
        <f t="shared" si="1"/>
        <v>410</v>
      </c>
      <c r="N12" s="116">
        <f>M12/L10</f>
        <v>0.74545454545454548</v>
      </c>
      <c r="O12" s="44" t="str">
        <f t="shared" si="0"/>
        <v>Very Good</v>
      </c>
    </row>
    <row r="13" spans="1:15" ht="15.6">
      <c r="A13" s="51">
        <v>8</v>
      </c>
      <c r="B13" s="52" t="s">
        <v>210</v>
      </c>
      <c r="C13" s="53" t="s">
        <v>211</v>
      </c>
      <c r="D13" s="108">
        <v>80.5</v>
      </c>
      <c r="E13" s="108">
        <v>87</v>
      </c>
      <c r="F13" s="108">
        <v>95.5</v>
      </c>
      <c r="G13" s="108">
        <v>87</v>
      </c>
      <c r="H13" s="108" t="s">
        <v>314</v>
      </c>
      <c r="I13" s="108">
        <v>47</v>
      </c>
      <c r="J13" s="108">
        <v>47.5</v>
      </c>
      <c r="K13" s="108">
        <v>36.5</v>
      </c>
      <c r="L13" s="75">
        <v>550</v>
      </c>
      <c r="M13" s="54">
        <f t="shared" si="1"/>
        <v>481</v>
      </c>
      <c r="N13" s="116">
        <f>M13/L12</f>
        <v>0.87454545454545451</v>
      </c>
      <c r="O13" s="44" t="str">
        <f t="shared" si="0"/>
        <v>Outstanding</v>
      </c>
    </row>
    <row r="14" spans="1:15" ht="16.2" thickBot="1">
      <c r="A14" s="51">
        <v>9</v>
      </c>
      <c r="B14" s="91" t="s">
        <v>340</v>
      </c>
      <c r="C14" s="56" t="s">
        <v>341</v>
      </c>
      <c r="D14" s="140">
        <v>99</v>
      </c>
      <c r="E14" s="140">
        <v>77</v>
      </c>
      <c r="F14" s="140">
        <v>78.5</v>
      </c>
      <c r="G14" s="140">
        <v>79</v>
      </c>
      <c r="H14" s="140" t="s">
        <v>314</v>
      </c>
      <c r="I14" s="140">
        <v>39.5</v>
      </c>
      <c r="J14" s="140">
        <v>47.5</v>
      </c>
      <c r="K14" s="140">
        <v>33</v>
      </c>
      <c r="L14" s="45">
        <v>550</v>
      </c>
      <c r="M14" s="92">
        <f t="shared" si="1"/>
        <v>453.5</v>
      </c>
      <c r="N14" s="117">
        <f>M14/L12</f>
        <v>0.82454545454545458</v>
      </c>
      <c r="O14" s="47" t="str">
        <f t="shared" si="0"/>
        <v>Excellent</v>
      </c>
    </row>
    <row r="15" spans="1:15" ht="16.2" thickBot="1">
      <c r="A15" s="51">
        <v>10</v>
      </c>
      <c r="B15" s="91" t="s">
        <v>212</v>
      </c>
      <c r="C15" s="56" t="s">
        <v>213</v>
      </c>
      <c r="D15" s="109">
        <v>72</v>
      </c>
      <c r="E15" s="109">
        <v>92</v>
      </c>
      <c r="F15" s="109">
        <v>78.5</v>
      </c>
      <c r="G15" s="109">
        <v>79</v>
      </c>
      <c r="H15" s="109" t="s">
        <v>314</v>
      </c>
      <c r="I15" s="109">
        <v>39.5</v>
      </c>
      <c r="J15" s="109">
        <v>47.5</v>
      </c>
      <c r="K15" s="109">
        <v>33</v>
      </c>
      <c r="L15" s="45">
        <v>550</v>
      </c>
      <c r="M15" s="92">
        <f t="shared" si="1"/>
        <v>441.5</v>
      </c>
      <c r="N15" s="117">
        <f>M15/L13</f>
        <v>0.80272727272727273</v>
      </c>
      <c r="O15" s="47" t="str">
        <f t="shared" si="0"/>
        <v>Excellent</v>
      </c>
    </row>
    <row r="16" spans="1:15">
      <c r="A16" s="173" t="s">
        <v>40</v>
      </c>
      <c r="B16" s="174"/>
      <c r="C16" s="174"/>
      <c r="K16" s="173" t="s">
        <v>41</v>
      </c>
      <c r="L16" s="174"/>
      <c r="M16" s="174"/>
    </row>
    <row r="17" spans="1:14" ht="58.2" customHeight="1">
      <c r="A17" s="174"/>
      <c r="B17" s="174"/>
      <c r="C17" s="174"/>
      <c r="K17" s="174"/>
      <c r="L17" s="174"/>
      <c r="M17" s="174"/>
    </row>
    <row r="18" spans="1:14" ht="18">
      <c r="C18" s="2" t="s">
        <v>45</v>
      </c>
      <c r="D18" s="3" t="s">
        <v>46</v>
      </c>
      <c r="E18" s="3" t="s">
        <v>7</v>
      </c>
      <c r="F18" s="3" t="s">
        <v>166</v>
      </c>
      <c r="G18" s="3" t="s">
        <v>8</v>
      </c>
      <c r="H18" s="3" t="s">
        <v>57</v>
      </c>
      <c r="I18" s="3" t="s">
        <v>199</v>
      </c>
      <c r="J18" s="26" t="s">
        <v>85</v>
      </c>
      <c r="K18" s="26" t="s">
        <v>59</v>
      </c>
      <c r="M18" s="147" t="s">
        <v>218</v>
      </c>
      <c r="N18" s="148"/>
    </row>
    <row r="19" spans="1:14" ht="18">
      <c r="C19" s="7" t="s">
        <v>48</v>
      </c>
      <c r="D19" s="110">
        <f>9-D21</f>
        <v>6</v>
      </c>
      <c r="E19" s="110">
        <f t="shared" ref="E19:K19" si="3">9-E21</f>
        <v>9</v>
      </c>
      <c r="F19" s="110">
        <f t="shared" si="3"/>
        <v>8</v>
      </c>
      <c r="G19" s="110">
        <f t="shared" si="3"/>
        <v>6</v>
      </c>
      <c r="H19" s="110">
        <f t="shared" si="3"/>
        <v>9</v>
      </c>
      <c r="I19" s="110">
        <f t="shared" si="3"/>
        <v>7</v>
      </c>
      <c r="J19" s="110">
        <f t="shared" si="3"/>
        <v>9</v>
      </c>
      <c r="K19" s="111">
        <f t="shared" si="3"/>
        <v>8</v>
      </c>
      <c r="M19" s="48" t="s">
        <v>43</v>
      </c>
      <c r="N19" s="63">
        <v>9</v>
      </c>
    </row>
    <row r="20" spans="1:14" ht="18">
      <c r="C20" s="10" t="s">
        <v>50</v>
      </c>
      <c r="D20" s="11">
        <f>D19/9</f>
        <v>0.66666666666666663</v>
      </c>
      <c r="E20" s="11">
        <f t="shared" ref="E20:K20" si="4">E19/9</f>
        <v>1</v>
      </c>
      <c r="F20" s="11">
        <f t="shared" si="4"/>
        <v>0.88888888888888884</v>
      </c>
      <c r="G20" s="11">
        <f t="shared" si="4"/>
        <v>0.66666666666666663</v>
      </c>
      <c r="H20" s="11">
        <f t="shared" si="4"/>
        <v>1</v>
      </c>
      <c r="I20" s="11">
        <f t="shared" si="4"/>
        <v>0.77777777777777779</v>
      </c>
      <c r="J20" s="11">
        <f t="shared" si="4"/>
        <v>1</v>
      </c>
      <c r="K20" s="28">
        <f t="shared" si="4"/>
        <v>0.88888888888888884</v>
      </c>
      <c r="M20" s="49" t="s">
        <v>44</v>
      </c>
      <c r="N20" s="63">
        <v>9</v>
      </c>
    </row>
    <row r="21" spans="1:14" ht="18">
      <c r="C21" s="10" t="s">
        <v>52</v>
      </c>
      <c r="D21" s="61">
        <v>3</v>
      </c>
      <c r="E21" s="61">
        <v>0</v>
      </c>
      <c r="F21" s="61">
        <v>1</v>
      </c>
      <c r="G21" s="61">
        <v>3</v>
      </c>
      <c r="H21" s="61">
        <v>0</v>
      </c>
      <c r="I21" s="61">
        <v>2</v>
      </c>
      <c r="J21" s="61">
        <v>0</v>
      </c>
      <c r="K21" s="66">
        <v>1</v>
      </c>
      <c r="M21" s="49" t="s">
        <v>47</v>
      </c>
      <c r="N21" s="63">
        <v>8</v>
      </c>
    </row>
    <row r="22" spans="1:14" ht="18">
      <c r="C22" s="14" t="s">
        <v>54</v>
      </c>
      <c r="D22" s="15">
        <f>100%-D20</f>
        <v>0.33333333333333337</v>
      </c>
      <c r="E22" s="15">
        <f t="shared" ref="E22:K22" si="5">100%-E20</f>
        <v>0</v>
      </c>
      <c r="F22" s="15">
        <f t="shared" si="5"/>
        <v>0.11111111111111116</v>
      </c>
      <c r="G22" s="15">
        <f t="shared" si="5"/>
        <v>0.33333333333333337</v>
      </c>
      <c r="H22" s="15">
        <f t="shared" si="5"/>
        <v>0</v>
      </c>
      <c r="I22" s="15">
        <f t="shared" si="5"/>
        <v>0.22222222222222221</v>
      </c>
      <c r="J22" s="15">
        <f t="shared" si="5"/>
        <v>0</v>
      </c>
      <c r="K22" s="30">
        <f t="shared" si="5"/>
        <v>0.11111111111111116</v>
      </c>
      <c r="M22" s="49" t="s">
        <v>49</v>
      </c>
      <c r="N22" s="21">
        <f>N21/N20</f>
        <v>0.88888888888888884</v>
      </c>
    </row>
    <row r="23" spans="1:14" ht="18">
      <c r="M23" s="49" t="s">
        <v>51</v>
      </c>
      <c r="N23" s="20">
        <f>N20-N21</f>
        <v>1</v>
      </c>
    </row>
    <row r="24" spans="1:14" ht="18">
      <c r="C24" s="18"/>
      <c r="D24" s="18"/>
      <c r="E24" s="18"/>
      <c r="F24" s="18"/>
      <c r="G24" s="18"/>
      <c r="H24" s="18"/>
      <c r="I24" s="18"/>
      <c r="J24" s="31"/>
      <c r="K24" s="18"/>
      <c r="M24" s="50" t="s">
        <v>53</v>
      </c>
      <c r="N24" s="22">
        <f>N23/N20</f>
        <v>0.1111111111111111</v>
      </c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sortState xmlns:xlrd2="http://schemas.microsoft.com/office/spreadsheetml/2017/richdata2" ref="A7:O15">
    <sortCondition ref="A7:A15"/>
  </sortState>
  <mergeCells count="14">
    <mergeCell ref="A1:O1"/>
    <mergeCell ref="A2:O2"/>
    <mergeCell ref="A3:C3"/>
    <mergeCell ref="D3:K3"/>
    <mergeCell ref="L3:O3"/>
    <mergeCell ref="O4:O5"/>
    <mergeCell ref="A16:C17"/>
    <mergeCell ref="K16:M17"/>
    <mergeCell ref="M18:N18"/>
    <mergeCell ref="A4:A5"/>
    <mergeCell ref="B4:B5"/>
    <mergeCell ref="C4:C5"/>
    <mergeCell ref="M4:M5"/>
    <mergeCell ref="N4:N5"/>
  </mergeCells>
  <phoneticPr fontId="19" type="noConversion"/>
  <conditionalFormatting sqref="D6:G15">
    <cfRule type="cellIs" dxfId="59" priority="2" operator="lessThan">
      <formula>40</formula>
    </cfRule>
  </conditionalFormatting>
  <conditionalFormatting sqref="D20:K20">
    <cfRule type="cellIs" dxfId="58" priority="9" operator="lessThan">
      <formula>0.5</formula>
    </cfRule>
  </conditionalFormatting>
  <conditionalFormatting sqref="H6:K15">
    <cfRule type="cellIs" dxfId="57" priority="1" operator="lessThan">
      <formula>20</formula>
    </cfRule>
  </conditionalFormatting>
  <conditionalFormatting sqref="M6:M15">
    <cfRule type="cellIs" dxfId="56" priority="3" operator="lessThan">
      <formula>80</formula>
    </cfRule>
    <cfRule type="cellIs" dxfId="55" priority="6" operator="lessThan">
      <formula>66</formula>
    </cfRule>
  </conditionalFormatting>
  <conditionalFormatting sqref="N6:N15">
    <cfRule type="cellIs" dxfId="54" priority="4" operator="lessThan">
      <formula>0.4</formula>
    </cfRule>
    <cfRule type="cellIs" dxfId="53" priority="5" operator="lessThan">
      <formula>0.33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9"/>
  <sheetViews>
    <sheetView zoomScale="85" zoomScaleNormal="85" workbookViewId="0">
      <selection activeCell="O20" sqref="O20"/>
    </sheetView>
  </sheetViews>
  <sheetFormatPr defaultColWidth="9" defaultRowHeight="14.4"/>
  <cols>
    <col min="2" max="2" width="17.109375" customWidth="1"/>
    <col min="3" max="3" width="27.44140625" customWidth="1"/>
    <col min="4" max="4" width="12.6640625"/>
    <col min="13" max="13" width="16.6640625" customWidth="1"/>
    <col min="14" max="14" width="10.6640625" customWidth="1"/>
    <col min="15" max="15" width="19" customWidth="1"/>
  </cols>
  <sheetData>
    <row r="1" spans="1:15" ht="23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219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93" t="s">
        <v>8</v>
      </c>
      <c r="H4" s="80" t="s">
        <v>57</v>
      </c>
      <c r="I4" s="93" t="s">
        <v>199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115">
        <v>100</v>
      </c>
      <c r="E5" s="115">
        <v>100</v>
      </c>
      <c r="F5" s="115">
        <v>100</v>
      </c>
      <c r="G5" s="115">
        <v>100</v>
      </c>
      <c r="H5" s="78" t="s">
        <v>317</v>
      </c>
      <c r="I5" s="115">
        <v>50</v>
      </c>
      <c r="J5" s="115">
        <v>50</v>
      </c>
      <c r="K5" s="115">
        <v>50</v>
      </c>
      <c r="L5" s="75">
        <f>SUM(D5:K5)</f>
        <v>550</v>
      </c>
      <c r="M5" s="154"/>
      <c r="N5" s="156"/>
      <c r="O5" s="158"/>
    </row>
    <row r="6" spans="1:15" ht="15.6">
      <c r="A6" s="82">
        <v>1</v>
      </c>
      <c r="B6" s="94" t="s">
        <v>231</v>
      </c>
      <c r="C6" s="95" t="s">
        <v>232</v>
      </c>
      <c r="D6" s="108">
        <v>90.5</v>
      </c>
      <c r="E6" s="108">
        <v>100</v>
      </c>
      <c r="F6" s="108">
        <v>97</v>
      </c>
      <c r="G6" s="108">
        <v>99</v>
      </c>
      <c r="H6" s="108" t="s">
        <v>314</v>
      </c>
      <c r="I6" s="108">
        <v>48.5</v>
      </c>
      <c r="J6" s="108">
        <v>50</v>
      </c>
      <c r="K6" s="108">
        <v>50</v>
      </c>
      <c r="L6" s="75">
        <v>550</v>
      </c>
      <c r="M6" s="43">
        <f t="shared" ref="M6:M11" si="0">SUM(D6:K6)</f>
        <v>535</v>
      </c>
      <c r="N6" s="116">
        <f>M6/'Class VIII'!L6</f>
        <v>0.97272727272727277</v>
      </c>
      <c r="O6" s="44" t="str">
        <f t="shared" ref="O6:O12" si="1"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51">
        <v>2</v>
      </c>
      <c r="B7" s="55" t="s">
        <v>330</v>
      </c>
      <c r="C7" s="53" t="s">
        <v>220</v>
      </c>
      <c r="D7" s="108">
        <v>42.5</v>
      </c>
      <c r="E7" s="108">
        <v>68</v>
      </c>
      <c r="F7" s="108">
        <v>54</v>
      </c>
      <c r="G7" s="108">
        <v>41</v>
      </c>
      <c r="H7" s="108" t="s">
        <v>315</v>
      </c>
      <c r="I7" s="108">
        <v>24</v>
      </c>
      <c r="J7" s="108">
        <v>39.5</v>
      </c>
      <c r="K7" s="108">
        <v>43.5</v>
      </c>
      <c r="L7" s="75">
        <v>550</v>
      </c>
      <c r="M7" s="54">
        <f t="shared" si="0"/>
        <v>312.5</v>
      </c>
      <c r="N7" s="116">
        <f>M7/L5</f>
        <v>0.56818181818181823</v>
      </c>
      <c r="O7" s="44" t="str">
        <f t="shared" si="1"/>
        <v>Satisfactory</v>
      </c>
    </row>
    <row r="8" spans="1:15" ht="15.6">
      <c r="A8" s="82">
        <v>3</v>
      </c>
      <c r="B8" s="55" t="s">
        <v>331</v>
      </c>
      <c r="C8" s="53" t="s">
        <v>215</v>
      </c>
      <c r="D8" s="108">
        <v>40</v>
      </c>
      <c r="E8" s="108">
        <v>40</v>
      </c>
      <c r="F8" s="108">
        <v>62</v>
      </c>
      <c r="G8" s="108">
        <v>27</v>
      </c>
      <c r="H8" s="108" t="s">
        <v>318</v>
      </c>
      <c r="I8" s="108">
        <v>33</v>
      </c>
      <c r="J8" s="108">
        <v>21.5</v>
      </c>
      <c r="K8" s="108">
        <v>12.5</v>
      </c>
      <c r="L8" s="75">
        <v>550</v>
      </c>
      <c r="M8" s="54">
        <f t="shared" si="0"/>
        <v>236</v>
      </c>
      <c r="N8" s="116">
        <f>M8/'Class VI'!L6</f>
        <v>0.42909090909090908</v>
      </c>
      <c r="O8" s="44" t="str">
        <f t="shared" si="1"/>
        <v>Fair</v>
      </c>
    </row>
    <row r="9" spans="1:15" ht="15.6">
      <c r="A9" s="51">
        <v>4</v>
      </c>
      <c r="B9" s="55" t="s">
        <v>332</v>
      </c>
      <c r="C9" s="53" t="s">
        <v>223</v>
      </c>
      <c r="D9" s="108">
        <v>72.5</v>
      </c>
      <c r="E9" s="108">
        <v>83.5</v>
      </c>
      <c r="F9" s="108">
        <v>85</v>
      </c>
      <c r="G9" s="108">
        <v>51</v>
      </c>
      <c r="H9" s="108" t="s">
        <v>315</v>
      </c>
      <c r="I9" s="108">
        <v>31.5</v>
      </c>
      <c r="J9" s="108">
        <v>44.5</v>
      </c>
      <c r="K9" s="108">
        <v>43.5</v>
      </c>
      <c r="L9" s="75">
        <v>550</v>
      </c>
      <c r="M9" s="54">
        <f t="shared" si="0"/>
        <v>411.5</v>
      </c>
      <c r="N9" s="116">
        <f>M9/L7</f>
        <v>0.74818181818181817</v>
      </c>
      <c r="O9" s="44" t="str">
        <f t="shared" si="1"/>
        <v>Very Good</v>
      </c>
    </row>
    <row r="10" spans="1:15" ht="15.6">
      <c r="A10" s="82">
        <v>5</v>
      </c>
      <c r="B10" s="55" t="s">
        <v>333</v>
      </c>
      <c r="C10" s="53" t="s">
        <v>224</v>
      </c>
      <c r="D10" s="108">
        <v>51</v>
      </c>
      <c r="E10" s="108">
        <v>75.5</v>
      </c>
      <c r="F10" s="108">
        <v>66</v>
      </c>
      <c r="G10" s="108">
        <v>60</v>
      </c>
      <c r="H10" s="108" t="s">
        <v>315</v>
      </c>
      <c r="I10" s="108">
        <v>29</v>
      </c>
      <c r="J10" s="108">
        <v>41</v>
      </c>
      <c r="K10" s="108">
        <v>44.5</v>
      </c>
      <c r="L10" s="75">
        <v>550</v>
      </c>
      <c r="M10" s="54">
        <f t="shared" si="0"/>
        <v>367</v>
      </c>
      <c r="N10" s="116">
        <f>M10/L9</f>
        <v>0.66727272727272724</v>
      </c>
      <c r="O10" s="44" t="str">
        <f t="shared" si="1"/>
        <v>Good</v>
      </c>
    </row>
    <row r="11" spans="1:15" ht="15.6">
      <c r="A11" s="51">
        <v>6</v>
      </c>
      <c r="B11" s="94" t="s">
        <v>257</v>
      </c>
      <c r="C11" s="94" t="s">
        <v>258</v>
      </c>
      <c r="D11" s="108">
        <v>86.5</v>
      </c>
      <c r="E11" s="108">
        <v>97.5</v>
      </c>
      <c r="F11" s="108">
        <v>98</v>
      </c>
      <c r="G11" s="108">
        <v>87</v>
      </c>
      <c r="H11" s="108" t="s">
        <v>314</v>
      </c>
      <c r="I11" s="108">
        <v>50</v>
      </c>
      <c r="J11" s="108">
        <v>50</v>
      </c>
      <c r="K11" s="108">
        <v>49.5</v>
      </c>
      <c r="L11" s="75">
        <v>550</v>
      </c>
      <c r="M11" s="43">
        <f t="shared" si="0"/>
        <v>518.5</v>
      </c>
      <c r="N11" s="116">
        <f>M11/'Class VIII'!L21</f>
        <v>0.94272727272727275</v>
      </c>
      <c r="O11" s="44" t="str">
        <f t="shared" si="1"/>
        <v>Outstanding</v>
      </c>
    </row>
    <row r="12" spans="1:15" ht="16.2" thickBot="1">
      <c r="A12" s="82">
        <v>7</v>
      </c>
      <c r="B12" s="57" t="s">
        <v>334</v>
      </c>
      <c r="C12" s="56" t="s">
        <v>226</v>
      </c>
      <c r="D12" s="118" t="s">
        <v>320</v>
      </c>
      <c r="E12" s="118" t="s">
        <v>320</v>
      </c>
      <c r="F12" s="118" t="s">
        <v>320</v>
      </c>
      <c r="G12" s="118" t="s">
        <v>320</v>
      </c>
      <c r="H12" s="118" t="s">
        <v>320</v>
      </c>
      <c r="I12" s="118" t="s">
        <v>320</v>
      </c>
      <c r="J12" s="118" t="s">
        <v>320</v>
      </c>
      <c r="K12" s="118" t="s">
        <v>320</v>
      </c>
      <c r="L12" s="45">
        <v>550</v>
      </c>
      <c r="M12" s="92">
        <f>SUM(D12:K12)</f>
        <v>0</v>
      </c>
      <c r="N12" s="117">
        <f>M12/'Class VIII'!L22</f>
        <v>0</v>
      </c>
      <c r="O12" s="47" t="str">
        <f t="shared" si="1"/>
        <v>Needs Attention</v>
      </c>
    </row>
    <row r="14" spans="1:15">
      <c r="A14" s="173" t="s">
        <v>40</v>
      </c>
      <c r="B14" s="174"/>
      <c r="C14" s="174"/>
      <c r="K14" s="173" t="s">
        <v>41</v>
      </c>
      <c r="L14" s="174"/>
      <c r="M14" s="174"/>
    </row>
    <row r="15" spans="1:15" ht="58.2" customHeight="1">
      <c r="A15" s="174"/>
      <c r="B15" s="174"/>
      <c r="C15" s="174"/>
      <c r="K15" s="174"/>
      <c r="L15" s="174"/>
      <c r="M15" s="174"/>
    </row>
    <row r="16" spans="1:15" ht="18">
      <c r="C16" s="2" t="s">
        <v>45</v>
      </c>
      <c r="D16" s="3" t="s">
        <v>46</v>
      </c>
      <c r="E16" s="3" t="s">
        <v>7</v>
      </c>
      <c r="F16" s="3" t="s">
        <v>166</v>
      </c>
      <c r="G16" s="3" t="s">
        <v>8</v>
      </c>
      <c r="H16" s="76" t="s">
        <v>57</v>
      </c>
      <c r="I16" s="3" t="s">
        <v>199</v>
      </c>
      <c r="J16" s="26" t="s">
        <v>85</v>
      </c>
      <c r="K16" s="26" t="s">
        <v>59</v>
      </c>
      <c r="M16" s="147" t="s">
        <v>227</v>
      </c>
      <c r="N16" s="148"/>
    </row>
    <row r="17" spans="3:14" ht="18">
      <c r="C17" s="7" t="s">
        <v>48</v>
      </c>
      <c r="D17" s="110">
        <f>6-D19</f>
        <v>6</v>
      </c>
      <c r="E17" s="110">
        <f t="shared" ref="E17:K17" si="2">6-E19</f>
        <v>6</v>
      </c>
      <c r="F17" s="110">
        <f t="shared" si="2"/>
        <v>6</v>
      </c>
      <c r="G17" s="110">
        <f t="shared" si="2"/>
        <v>5</v>
      </c>
      <c r="H17" s="110">
        <f t="shared" si="2"/>
        <v>6</v>
      </c>
      <c r="I17" s="110">
        <f t="shared" si="2"/>
        <v>6</v>
      </c>
      <c r="J17" s="110">
        <f t="shared" si="2"/>
        <v>6</v>
      </c>
      <c r="K17" s="111">
        <f t="shared" si="2"/>
        <v>5</v>
      </c>
      <c r="M17" s="48" t="s">
        <v>43</v>
      </c>
      <c r="N17" s="63">
        <v>7</v>
      </c>
    </row>
    <row r="18" spans="3:14" ht="18">
      <c r="C18" s="10" t="s">
        <v>50</v>
      </c>
      <c r="D18" s="11">
        <f>D17/6</f>
        <v>1</v>
      </c>
      <c r="E18" s="11">
        <f t="shared" ref="E18:K18" si="3">E17/6</f>
        <v>1</v>
      </c>
      <c r="F18" s="11">
        <f t="shared" si="3"/>
        <v>1</v>
      </c>
      <c r="G18" s="11">
        <f t="shared" si="3"/>
        <v>0.83333333333333337</v>
      </c>
      <c r="H18" s="11">
        <f t="shared" si="3"/>
        <v>1</v>
      </c>
      <c r="I18" s="11">
        <f t="shared" si="3"/>
        <v>1</v>
      </c>
      <c r="J18" s="11">
        <f t="shared" si="3"/>
        <v>1</v>
      </c>
      <c r="K18" s="28">
        <f t="shared" si="3"/>
        <v>0.83333333333333337</v>
      </c>
      <c r="M18" s="49" t="s">
        <v>44</v>
      </c>
      <c r="N18" s="63">
        <v>6</v>
      </c>
    </row>
    <row r="19" spans="3:14" ht="18">
      <c r="C19" s="10" t="s">
        <v>52</v>
      </c>
      <c r="D19" s="61">
        <v>0</v>
      </c>
      <c r="E19" s="61">
        <v>0</v>
      </c>
      <c r="F19" s="61">
        <v>0</v>
      </c>
      <c r="G19" s="61">
        <v>1</v>
      </c>
      <c r="H19" s="61">
        <v>0</v>
      </c>
      <c r="I19" s="61">
        <v>0</v>
      </c>
      <c r="J19" s="61">
        <v>0</v>
      </c>
      <c r="K19" s="66">
        <v>1</v>
      </c>
      <c r="M19" s="49" t="s">
        <v>47</v>
      </c>
      <c r="N19" s="63">
        <v>6</v>
      </c>
    </row>
    <row r="20" spans="3:14" ht="18">
      <c r="C20" s="14" t="s">
        <v>54</v>
      </c>
      <c r="D20" s="15">
        <f>100%-D18</f>
        <v>0</v>
      </c>
      <c r="E20" s="15">
        <f t="shared" ref="E20:K20" si="4">100%-E18</f>
        <v>0</v>
      </c>
      <c r="F20" s="15">
        <f t="shared" si="4"/>
        <v>0</v>
      </c>
      <c r="G20" s="15">
        <f t="shared" si="4"/>
        <v>0.16666666666666663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30">
        <f t="shared" si="4"/>
        <v>0.16666666666666663</v>
      </c>
      <c r="M20" s="49" t="s">
        <v>49</v>
      </c>
      <c r="N20" s="21">
        <f>N19/N18</f>
        <v>1</v>
      </c>
    </row>
    <row r="21" spans="3:14" ht="18">
      <c r="M21" s="49" t="s">
        <v>51</v>
      </c>
      <c r="N21" s="20">
        <f>N18-N19</f>
        <v>0</v>
      </c>
    </row>
    <row r="22" spans="3:14" ht="18">
      <c r="C22" s="18"/>
      <c r="D22" s="18"/>
      <c r="E22" s="18"/>
      <c r="F22" s="18"/>
      <c r="G22" s="18"/>
      <c r="H22" s="18"/>
      <c r="I22" s="18"/>
      <c r="J22" s="31"/>
      <c r="K22" s="18"/>
      <c r="M22" s="50" t="s">
        <v>53</v>
      </c>
      <c r="N22" s="22">
        <f>N21/N18</f>
        <v>0</v>
      </c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  <row r="27" spans="3:14" ht="18">
      <c r="E27" s="19"/>
    </row>
    <row r="28" spans="3:14" ht="18">
      <c r="E28" s="19"/>
    </row>
    <row r="29" spans="3:14" ht="18">
      <c r="E29" s="19"/>
    </row>
  </sheetData>
  <mergeCells count="14">
    <mergeCell ref="A1:O1"/>
    <mergeCell ref="A2:O2"/>
    <mergeCell ref="A3:C3"/>
    <mergeCell ref="D3:K3"/>
    <mergeCell ref="L3:O3"/>
    <mergeCell ref="O4:O5"/>
    <mergeCell ref="A14:C15"/>
    <mergeCell ref="K14:M15"/>
    <mergeCell ref="M16:N16"/>
    <mergeCell ref="A4:A5"/>
    <mergeCell ref="B4:B5"/>
    <mergeCell ref="C4:C5"/>
    <mergeCell ref="M4:M5"/>
    <mergeCell ref="N4:N5"/>
  </mergeCells>
  <conditionalFormatting sqref="D6:G11">
    <cfRule type="cellIs" dxfId="52" priority="2" operator="lessThan">
      <formula>40</formula>
    </cfRule>
  </conditionalFormatting>
  <conditionalFormatting sqref="D12:K12">
    <cfRule type="cellIs" dxfId="51" priority="21" operator="lessThan">
      <formula>20</formula>
    </cfRule>
  </conditionalFormatting>
  <conditionalFormatting sqref="D18:K18">
    <cfRule type="cellIs" dxfId="50" priority="25" operator="lessThan">
      <formula>0.5</formula>
    </cfRule>
  </conditionalFormatting>
  <conditionalFormatting sqref="H6">
    <cfRule type="containsText" dxfId="49" priority="14" operator="containsText" text="F">
      <formula>NOT(ISERROR(SEARCH("F",H6)))</formula>
    </cfRule>
  </conditionalFormatting>
  <conditionalFormatting sqref="H11">
    <cfRule type="containsText" dxfId="48" priority="7" operator="containsText" text="F">
      <formula>NOT(ISERROR(SEARCH("F",H11)))</formula>
    </cfRule>
  </conditionalFormatting>
  <conditionalFormatting sqref="H6:K11">
    <cfRule type="cellIs" dxfId="47" priority="1" operator="lessThan">
      <formula>20</formula>
    </cfRule>
  </conditionalFormatting>
  <conditionalFormatting sqref="M6:M12">
    <cfRule type="cellIs" dxfId="46" priority="3" operator="lessThan">
      <formula>80</formula>
    </cfRule>
    <cfRule type="cellIs" dxfId="45" priority="6" operator="lessThan">
      <formula>66</formula>
    </cfRule>
  </conditionalFormatting>
  <conditionalFormatting sqref="N6:N12">
    <cfRule type="cellIs" dxfId="44" priority="4" operator="lessThan">
      <formula>0.4</formula>
    </cfRule>
    <cfRule type="cellIs" dxfId="43" priority="5" operator="lessThan">
      <formula>0.33</formula>
    </cfRule>
  </conditionalFormatting>
  <printOptions horizontalCentered="1"/>
  <pageMargins left="0.2" right="0.2" top="0.25" bottom="0.25" header="0.3" footer="0.3"/>
  <pageSetup paperSize="9" scale="79" fitToHeight="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2"/>
  <sheetViews>
    <sheetView topLeftCell="A3" zoomScale="70" zoomScaleNormal="70" zoomScaleSheetLayoutView="70" workbookViewId="0">
      <selection activeCell="P27" sqref="P27"/>
    </sheetView>
  </sheetViews>
  <sheetFormatPr defaultColWidth="9" defaultRowHeight="14.4"/>
  <cols>
    <col min="2" max="2" width="15.44140625" customWidth="1"/>
    <col min="3" max="3" width="25.44140625" customWidth="1"/>
    <col min="13" max="13" width="20.44140625" customWidth="1"/>
    <col min="14" max="14" width="11.109375" customWidth="1"/>
    <col min="15" max="15" width="20" customWidth="1"/>
    <col min="17" max="17" width="13.109375" customWidth="1"/>
    <col min="18" max="18" width="20.33203125" customWidth="1"/>
    <col min="28" max="28" width="10.6640625" customWidth="1"/>
    <col min="30" max="30" width="13.88671875" customWidth="1"/>
  </cols>
  <sheetData>
    <row r="1" spans="1:15" ht="25.2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228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56"/>
      <c r="O5" s="158"/>
    </row>
    <row r="6" spans="1:15" ht="15.6">
      <c r="A6" s="82">
        <v>1</v>
      </c>
      <c r="B6" s="130" t="s">
        <v>229</v>
      </c>
      <c r="C6" s="130" t="s">
        <v>230</v>
      </c>
      <c r="D6" s="108">
        <v>78</v>
      </c>
      <c r="E6" s="108">
        <v>95</v>
      </c>
      <c r="F6" s="108">
        <v>95</v>
      </c>
      <c r="G6" s="108">
        <v>89</v>
      </c>
      <c r="H6" s="108" t="s">
        <v>314</v>
      </c>
      <c r="I6" s="108">
        <v>47</v>
      </c>
      <c r="J6" s="108">
        <v>49</v>
      </c>
      <c r="K6" s="108">
        <v>48</v>
      </c>
      <c r="L6" s="75">
        <v>550</v>
      </c>
      <c r="M6" s="43">
        <f>SUM(D6:K6)</f>
        <v>501</v>
      </c>
      <c r="N6" s="116">
        <f>M6/L5</f>
        <v>0.91090909090909089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130" t="s">
        <v>233</v>
      </c>
      <c r="C7" s="131" t="s">
        <v>119</v>
      </c>
      <c r="D7" s="108">
        <v>56</v>
      </c>
      <c r="E7" s="108">
        <v>69.5</v>
      </c>
      <c r="F7" s="108">
        <v>84.5</v>
      </c>
      <c r="G7" s="108">
        <v>74.5</v>
      </c>
      <c r="H7" s="108" t="s">
        <v>314</v>
      </c>
      <c r="I7" s="108">
        <v>32</v>
      </c>
      <c r="J7" s="108">
        <v>36.5</v>
      </c>
      <c r="K7" s="108">
        <v>38.5</v>
      </c>
      <c r="L7" s="75">
        <v>550</v>
      </c>
      <c r="M7" s="43">
        <f t="shared" ref="M7:M21" si="0">SUM(D7:K7)</f>
        <v>391.5</v>
      </c>
      <c r="N7" s="116">
        <f>M7/'Class VII'!L6</f>
        <v>0.71181818181818179</v>
      </c>
      <c r="O7" s="44" t="str">
        <f t="shared" ref="O7:O19" si="1">IF(N7&gt;=85%,"Outstanding",IF(N7&gt;=80%,"Excellent",IF(N7&gt;=70%,"Very Good",IF(N7&gt;=60%,"Good",IF(N7&gt;=50%,"Satisfactory",IF(N7&gt;=40%,"Fair","Needs Attention"))))))</f>
        <v>Very Good</v>
      </c>
    </row>
    <row r="8" spans="1:15" ht="15.6">
      <c r="A8" s="82">
        <v>3</v>
      </c>
      <c r="B8" s="130" t="s">
        <v>234</v>
      </c>
      <c r="C8" s="131" t="s">
        <v>235</v>
      </c>
      <c r="D8" s="108">
        <v>43</v>
      </c>
      <c r="E8" s="108">
        <v>44</v>
      </c>
      <c r="F8" s="108">
        <v>76</v>
      </c>
      <c r="G8" s="108">
        <v>53</v>
      </c>
      <c r="H8" s="108" t="s">
        <v>316</v>
      </c>
      <c r="I8" s="108">
        <v>29.5</v>
      </c>
      <c r="J8" s="108">
        <v>36</v>
      </c>
      <c r="K8" s="108">
        <v>34</v>
      </c>
      <c r="L8" s="75">
        <v>550</v>
      </c>
      <c r="M8" s="43">
        <f t="shared" si="0"/>
        <v>315.5</v>
      </c>
      <c r="N8" s="116">
        <f t="shared" ref="N8:N21" si="2">M8/L7</f>
        <v>0.57363636363636361</v>
      </c>
      <c r="O8" s="44" t="str">
        <f t="shared" si="1"/>
        <v>Satisfactory</v>
      </c>
    </row>
    <row r="9" spans="1:15" ht="15.6">
      <c r="A9" s="82">
        <v>4</v>
      </c>
      <c r="B9" s="130" t="s">
        <v>236</v>
      </c>
      <c r="C9" s="131" t="s">
        <v>237</v>
      </c>
      <c r="D9" s="108">
        <v>57</v>
      </c>
      <c r="E9" s="108">
        <v>72</v>
      </c>
      <c r="F9" s="108">
        <v>85</v>
      </c>
      <c r="G9" s="108">
        <v>71</v>
      </c>
      <c r="H9" s="108" t="s">
        <v>315</v>
      </c>
      <c r="I9" s="108">
        <v>26</v>
      </c>
      <c r="J9" s="108">
        <v>38.5</v>
      </c>
      <c r="K9" s="108">
        <v>41</v>
      </c>
      <c r="L9" s="75">
        <v>550</v>
      </c>
      <c r="M9" s="43">
        <f t="shared" si="0"/>
        <v>390.5</v>
      </c>
      <c r="N9" s="116">
        <f t="shared" si="2"/>
        <v>0.71</v>
      </c>
      <c r="O9" s="44" t="str">
        <f t="shared" si="1"/>
        <v>Very Good</v>
      </c>
    </row>
    <row r="10" spans="1:15" ht="15.6">
      <c r="A10" s="82">
        <v>5</v>
      </c>
      <c r="B10" s="132" t="s">
        <v>271</v>
      </c>
      <c r="C10" s="132" t="s">
        <v>272</v>
      </c>
      <c r="D10" s="108">
        <v>90</v>
      </c>
      <c r="E10" s="108">
        <v>97</v>
      </c>
      <c r="F10" s="108">
        <v>96</v>
      </c>
      <c r="G10" s="108">
        <v>94</v>
      </c>
      <c r="H10" s="129" t="s">
        <v>315</v>
      </c>
      <c r="I10" s="108">
        <v>45</v>
      </c>
      <c r="J10" s="108">
        <v>50</v>
      </c>
      <c r="K10" s="108">
        <v>40</v>
      </c>
      <c r="L10" s="75">
        <v>550</v>
      </c>
      <c r="M10" s="43">
        <f t="shared" si="0"/>
        <v>512</v>
      </c>
      <c r="N10" s="116">
        <f t="shared" si="2"/>
        <v>0.93090909090909091</v>
      </c>
      <c r="O10" s="44" t="str">
        <f t="shared" si="1"/>
        <v>Outstanding</v>
      </c>
    </row>
    <row r="11" spans="1:15" ht="15.6">
      <c r="A11" s="82">
        <v>6</v>
      </c>
      <c r="B11" s="130" t="s">
        <v>238</v>
      </c>
      <c r="C11" s="131" t="s">
        <v>239</v>
      </c>
      <c r="D11" s="108">
        <v>69.5</v>
      </c>
      <c r="E11" s="108">
        <v>88</v>
      </c>
      <c r="F11" s="108">
        <v>94</v>
      </c>
      <c r="G11" s="108">
        <v>53</v>
      </c>
      <c r="H11" s="108" t="s">
        <v>315</v>
      </c>
      <c r="I11" s="108">
        <v>39</v>
      </c>
      <c r="J11" s="108">
        <v>48</v>
      </c>
      <c r="K11" s="108">
        <v>46.5</v>
      </c>
      <c r="L11" s="75">
        <v>550</v>
      </c>
      <c r="M11" s="43">
        <f t="shared" si="0"/>
        <v>438</v>
      </c>
      <c r="N11" s="116">
        <f>M11/L9</f>
        <v>0.79636363636363638</v>
      </c>
      <c r="O11" s="44" t="str">
        <f t="shared" si="1"/>
        <v>Very Good</v>
      </c>
    </row>
    <row r="12" spans="1:15" ht="15.6">
      <c r="A12" s="82">
        <v>7</v>
      </c>
      <c r="B12" s="130" t="s">
        <v>240</v>
      </c>
      <c r="C12" s="131" t="s">
        <v>241</v>
      </c>
      <c r="D12" s="108">
        <v>46.5</v>
      </c>
      <c r="E12" s="108">
        <v>58</v>
      </c>
      <c r="F12" s="108">
        <v>91</v>
      </c>
      <c r="G12" s="108">
        <v>53</v>
      </c>
      <c r="H12" s="108" t="s">
        <v>315</v>
      </c>
      <c r="I12" s="108">
        <v>23</v>
      </c>
      <c r="J12" s="108">
        <v>27</v>
      </c>
      <c r="K12" s="108">
        <v>30.5</v>
      </c>
      <c r="L12" s="75">
        <v>550</v>
      </c>
      <c r="M12" s="43">
        <f t="shared" si="0"/>
        <v>329</v>
      </c>
      <c r="N12" s="116">
        <f t="shared" si="2"/>
        <v>0.59818181818181815</v>
      </c>
      <c r="O12" s="44" t="str">
        <f t="shared" si="1"/>
        <v>Satisfactory</v>
      </c>
    </row>
    <row r="13" spans="1:15" ht="15.6">
      <c r="A13" s="82">
        <v>8</v>
      </c>
      <c r="B13" s="130" t="s">
        <v>242</v>
      </c>
      <c r="C13" s="131" t="s">
        <v>243</v>
      </c>
      <c r="D13" s="108">
        <v>46.5</v>
      </c>
      <c r="E13" s="108">
        <v>50.5</v>
      </c>
      <c r="F13" s="108">
        <v>75.5</v>
      </c>
      <c r="G13" s="108">
        <v>63.5</v>
      </c>
      <c r="H13" s="108" t="s">
        <v>316</v>
      </c>
      <c r="I13" s="108">
        <v>26.5</v>
      </c>
      <c r="J13" s="108">
        <v>36</v>
      </c>
      <c r="K13" s="108">
        <v>40.5</v>
      </c>
      <c r="L13" s="75">
        <v>550</v>
      </c>
      <c r="M13" s="43">
        <f t="shared" si="0"/>
        <v>339</v>
      </c>
      <c r="N13" s="116">
        <f t="shared" si="2"/>
        <v>0.61636363636363634</v>
      </c>
      <c r="O13" s="44" t="str">
        <f t="shared" si="1"/>
        <v>Good</v>
      </c>
    </row>
    <row r="14" spans="1:15" ht="15.6">
      <c r="A14" s="82">
        <v>9</v>
      </c>
      <c r="B14" s="130" t="s">
        <v>244</v>
      </c>
      <c r="C14" s="131" t="s">
        <v>245</v>
      </c>
      <c r="D14" s="108">
        <v>51</v>
      </c>
      <c r="E14" s="108">
        <v>97</v>
      </c>
      <c r="F14" s="108">
        <v>67</v>
      </c>
      <c r="G14" s="108">
        <v>43.5</v>
      </c>
      <c r="H14" s="108" t="s">
        <v>315</v>
      </c>
      <c r="I14" s="108">
        <v>20.5</v>
      </c>
      <c r="J14" s="108">
        <v>50</v>
      </c>
      <c r="K14" s="108">
        <v>50</v>
      </c>
      <c r="L14" s="75">
        <v>550</v>
      </c>
      <c r="M14" s="43">
        <f t="shared" si="0"/>
        <v>379</v>
      </c>
      <c r="N14" s="116">
        <f t="shared" si="2"/>
        <v>0.68909090909090909</v>
      </c>
      <c r="O14" s="44" t="str">
        <f t="shared" si="1"/>
        <v>Good</v>
      </c>
    </row>
    <row r="15" spans="1:15" ht="15.6">
      <c r="A15" s="82">
        <v>10</v>
      </c>
      <c r="B15" s="130" t="s">
        <v>246</v>
      </c>
      <c r="C15" s="131" t="s">
        <v>247</v>
      </c>
      <c r="D15" s="108">
        <v>31</v>
      </c>
      <c r="E15" s="108">
        <v>53</v>
      </c>
      <c r="F15" s="108">
        <v>47</v>
      </c>
      <c r="G15" s="108">
        <v>48</v>
      </c>
      <c r="H15" s="108" t="s">
        <v>316</v>
      </c>
      <c r="I15" s="108">
        <v>16</v>
      </c>
      <c r="J15" s="108">
        <v>38</v>
      </c>
      <c r="K15" s="108">
        <v>46.5</v>
      </c>
      <c r="L15" s="75">
        <v>550</v>
      </c>
      <c r="M15" s="43">
        <f t="shared" si="0"/>
        <v>279.5</v>
      </c>
      <c r="N15" s="116">
        <f t="shared" si="2"/>
        <v>0.50818181818181818</v>
      </c>
      <c r="O15" s="44" t="str">
        <f t="shared" si="1"/>
        <v>Satisfactory</v>
      </c>
    </row>
    <row r="16" spans="1:15" ht="15.6">
      <c r="A16" s="82">
        <v>11</v>
      </c>
      <c r="B16" s="52" t="s">
        <v>221</v>
      </c>
      <c r="C16" s="71" t="s">
        <v>222</v>
      </c>
      <c r="D16" s="108">
        <v>40</v>
      </c>
      <c r="E16" s="108">
        <v>42</v>
      </c>
      <c r="F16" s="108">
        <v>42</v>
      </c>
      <c r="G16" s="108">
        <v>40</v>
      </c>
      <c r="H16" s="108" t="s">
        <v>316</v>
      </c>
      <c r="I16" s="108">
        <v>26</v>
      </c>
      <c r="J16" s="108">
        <v>24.5</v>
      </c>
      <c r="K16" s="108">
        <v>22</v>
      </c>
      <c r="L16" s="75">
        <v>550</v>
      </c>
      <c r="M16" s="54">
        <f>SUM(D16:K16)</f>
        <v>236.5</v>
      </c>
      <c r="N16" s="116">
        <f>M16/'Class VII'!L7</f>
        <v>0.43</v>
      </c>
      <c r="O16" s="44" t="str">
        <f>IF(N16&gt;=85%,"Outstanding",IF(N16&gt;=80%,"Excellent",IF(N16&gt;=70%,"Very Good",IF(N16&gt;=60%,"Good",IF(N16&gt;=50%,"Satisfactory",IF(N16&gt;=40%,"Fair","Needs Attention"))))))</f>
        <v>Fair</v>
      </c>
    </row>
    <row r="17" spans="1:15" ht="15.6">
      <c r="A17" s="82">
        <v>12</v>
      </c>
      <c r="B17" s="130" t="s">
        <v>248</v>
      </c>
      <c r="C17" s="131" t="s">
        <v>249</v>
      </c>
      <c r="D17" s="108">
        <v>36</v>
      </c>
      <c r="E17" s="108">
        <v>57.5</v>
      </c>
      <c r="F17" s="108">
        <v>68.5</v>
      </c>
      <c r="G17" s="108">
        <v>56</v>
      </c>
      <c r="H17" s="108" t="s">
        <v>316</v>
      </c>
      <c r="I17" s="108">
        <v>28.5</v>
      </c>
      <c r="J17" s="108">
        <v>30</v>
      </c>
      <c r="K17" s="108">
        <v>37.5</v>
      </c>
      <c r="L17" s="75">
        <v>550</v>
      </c>
      <c r="M17" s="43">
        <f t="shared" si="0"/>
        <v>314</v>
      </c>
      <c r="N17" s="116">
        <f>M17/L15</f>
        <v>0.57090909090909092</v>
      </c>
      <c r="O17" s="44" t="str">
        <f t="shared" si="1"/>
        <v>Satisfactory</v>
      </c>
    </row>
    <row r="18" spans="1:15" ht="15.6">
      <c r="A18" s="82">
        <v>13</v>
      </c>
      <c r="B18" s="130" t="s">
        <v>250</v>
      </c>
      <c r="C18" s="131" t="s">
        <v>251</v>
      </c>
      <c r="D18" s="108">
        <v>46</v>
      </c>
      <c r="E18" s="108">
        <v>81.5</v>
      </c>
      <c r="F18" s="108">
        <v>74.5</v>
      </c>
      <c r="G18" s="108">
        <v>46.5</v>
      </c>
      <c r="H18" s="108" t="s">
        <v>315</v>
      </c>
      <c r="I18" s="108">
        <v>25</v>
      </c>
      <c r="J18" s="108">
        <v>45.5</v>
      </c>
      <c r="K18" s="108">
        <v>47.5</v>
      </c>
      <c r="L18" s="75">
        <v>550</v>
      </c>
      <c r="M18" s="43">
        <f>SUM(D18:K18)</f>
        <v>366.5</v>
      </c>
      <c r="N18" s="116">
        <f t="shared" si="2"/>
        <v>0.66636363636363638</v>
      </c>
      <c r="O18" s="44" t="str">
        <f t="shared" si="1"/>
        <v>Good</v>
      </c>
    </row>
    <row r="19" spans="1:15" ht="15.6">
      <c r="A19" s="82">
        <v>14</v>
      </c>
      <c r="B19" s="130" t="s">
        <v>252</v>
      </c>
      <c r="C19" s="131" t="s">
        <v>253</v>
      </c>
      <c r="D19" s="108">
        <v>26</v>
      </c>
      <c r="E19" s="108">
        <v>33.5</v>
      </c>
      <c r="F19" s="108">
        <v>42.5</v>
      </c>
      <c r="G19" s="108">
        <v>52</v>
      </c>
      <c r="H19" s="108" t="s">
        <v>316</v>
      </c>
      <c r="I19" s="108">
        <v>21</v>
      </c>
      <c r="J19" s="108">
        <v>26.5</v>
      </c>
      <c r="K19" s="108">
        <v>38</v>
      </c>
      <c r="L19" s="75">
        <v>550</v>
      </c>
      <c r="M19" s="43">
        <f t="shared" si="0"/>
        <v>239.5</v>
      </c>
      <c r="N19" s="116">
        <f t="shared" si="2"/>
        <v>0.43545454545454543</v>
      </c>
      <c r="O19" s="44" t="str">
        <f t="shared" si="1"/>
        <v>Fair</v>
      </c>
    </row>
    <row r="20" spans="1:15" ht="15.6">
      <c r="A20" s="82">
        <v>15</v>
      </c>
      <c r="B20" s="130" t="s">
        <v>254</v>
      </c>
      <c r="C20" s="131" t="s">
        <v>137</v>
      </c>
      <c r="D20" s="108">
        <v>44</v>
      </c>
      <c r="E20" s="108">
        <v>52.5</v>
      </c>
      <c r="F20" s="108">
        <v>67</v>
      </c>
      <c r="G20" s="108">
        <v>64</v>
      </c>
      <c r="H20" s="108" t="s">
        <v>316</v>
      </c>
      <c r="I20" s="108">
        <v>20</v>
      </c>
      <c r="J20" s="108">
        <v>39.5</v>
      </c>
      <c r="K20" s="108">
        <v>33</v>
      </c>
      <c r="L20" s="75">
        <v>550</v>
      </c>
      <c r="M20" s="43">
        <f t="shared" si="0"/>
        <v>320</v>
      </c>
      <c r="N20" s="116">
        <f t="shared" si="2"/>
        <v>0.58181818181818179</v>
      </c>
      <c r="O20" s="44" t="str">
        <f>IF(N20&gt;=85%,"Outstanding",IF(N20&gt;=80%,"Excellent",IF(N20&gt;=70%,"Very Good",IF(N20&gt;=60%,"Good",IF(N20&gt;=50%,"Satisfactory",IF(N20&gt;=40%,"Fair","Needs Attention"))))))</f>
        <v>Satisfactory</v>
      </c>
    </row>
    <row r="21" spans="1:15" ht="15.6">
      <c r="A21" s="82">
        <v>16</v>
      </c>
      <c r="B21" s="130" t="s">
        <v>255</v>
      </c>
      <c r="C21" s="131" t="s">
        <v>256</v>
      </c>
      <c r="D21" s="119" t="s">
        <v>320</v>
      </c>
      <c r="E21" s="119" t="s">
        <v>320</v>
      </c>
      <c r="F21" s="108">
        <v>73</v>
      </c>
      <c r="G21" s="108">
        <v>65</v>
      </c>
      <c r="H21" s="108" t="s">
        <v>314</v>
      </c>
      <c r="I21" s="119" t="s">
        <v>320</v>
      </c>
      <c r="J21" s="119" t="s">
        <v>320</v>
      </c>
      <c r="K21" s="119" t="s">
        <v>320</v>
      </c>
      <c r="L21" s="75">
        <v>550</v>
      </c>
      <c r="M21" s="43">
        <f t="shared" si="0"/>
        <v>138</v>
      </c>
      <c r="N21" s="116">
        <f t="shared" si="2"/>
        <v>0.25090909090909091</v>
      </c>
      <c r="O21" s="44" t="str">
        <f>IF(N21&gt;=85%,"Outstanding",IF(N21&gt;=80%,"Excellent",IF(N21&gt;=70%,"Very Good",IF(N21&gt;=60%,"Good",IF(N21&gt;=50%,"Satisfactory",IF(N21&gt;=40%,"Fair","Needs Attention"))))))</f>
        <v>Needs Attention</v>
      </c>
    </row>
    <row r="22" spans="1:15" ht="15.6">
      <c r="A22" s="82">
        <v>17</v>
      </c>
      <c r="B22" s="52" t="s">
        <v>225</v>
      </c>
      <c r="C22" s="71" t="s">
        <v>84</v>
      </c>
      <c r="D22" s="108">
        <v>50.5</v>
      </c>
      <c r="E22" s="108">
        <v>70</v>
      </c>
      <c r="F22" s="108">
        <v>59.5</v>
      </c>
      <c r="G22" s="108">
        <v>86</v>
      </c>
      <c r="H22" s="108" t="s">
        <v>314</v>
      </c>
      <c r="I22" s="108">
        <v>34</v>
      </c>
      <c r="J22" s="108">
        <v>46.5</v>
      </c>
      <c r="K22" s="108">
        <v>37.5</v>
      </c>
      <c r="L22" s="75">
        <v>550</v>
      </c>
      <c r="M22" s="54">
        <f>SUM(D22:K22)</f>
        <v>384</v>
      </c>
      <c r="N22" s="116">
        <f>M22/'Class VII'!L10</f>
        <v>0.69818181818181824</v>
      </c>
      <c r="O22" s="44" t="str">
        <f>IF(N22&gt;=85%,"Outstanding",IF(N22&gt;=80%,"Excellent",IF(N22&gt;=70%,"Very Good",IF(N22&gt;=60%,"Good",IF(N22&gt;=50%,"Satisfactory",IF(N22&gt;=40%,"Fair","Needs Attention"))))))</f>
        <v>Good</v>
      </c>
    </row>
    <row r="23" spans="1:15" ht="15.6">
      <c r="A23" s="82">
        <v>18</v>
      </c>
      <c r="B23" s="126" t="s">
        <v>283</v>
      </c>
      <c r="C23" s="125" t="s">
        <v>284</v>
      </c>
      <c r="D23" s="108">
        <v>93.5</v>
      </c>
      <c r="E23" s="108">
        <v>99.5</v>
      </c>
      <c r="F23" s="108">
        <v>100</v>
      </c>
      <c r="G23" s="108">
        <v>92</v>
      </c>
      <c r="H23" s="129" t="s">
        <v>314</v>
      </c>
      <c r="I23" s="108">
        <v>98</v>
      </c>
      <c r="J23" s="108">
        <v>50</v>
      </c>
      <c r="K23" s="108">
        <v>45</v>
      </c>
      <c r="L23" s="75">
        <v>650</v>
      </c>
      <c r="M23" s="43">
        <f>SUM(D23:K23)</f>
        <v>578</v>
      </c>
      <c r="N23" s="116">
        <f>M23/'Class IX'!L12</f>
        <v>0.88923076923076927</v>
      </c>
      <c r="O23" s="44" t="str">
        <f>IF(N23&gt;=85%,"Outstanding",IF(N23&gt;=80%,"Excellent",IF(N23&gt;=70%,"Very Good",IF(N23&gt;=60%,"Good",IF(N23&gt;=50%,"Satisfactory",IF(N23&gt;=40%,"Fair","Needs Attention"))))))</f>
        <v>Outstanding</v>
      </c>
    </row>
    <row r="24" spans="1:15" ht="16.2" thickBot="1">
      <c r="A24" s="83">
        <v>19</v>
      </c>
      <c r="B24" s="133" t="s">
        <v>259</v>
      </c>
      <c r="C24" s="133" t="s">
        <v>260</v>
      </c>
      <c r="D24" s="109">
        <v>64</v>
      </c>
      <c r="E24" s="109">
        <v>80</v>
      </c>
      <c r="F24" s="109">
        <v>85</v>
      </c>
      <c r="G24" s="109">
        <v>56</v>
      </c>
      <c r="H24" s="140" t="s">
        <v>316</v>
      </c>
      <c r="I24" s="109">
        <v>36.5</v>
      </c>
      <c r="J24" s="109">
        <v>46</v>
      </c>
      <c r="K24" s="109">
        <v>48</v>
      </c>
      <c r="L24" s="45">
        <v>550</v>
      </c>
      <c r="M24" s="46">
        <f>SUM(D24:K24)</f>
        <v>415.5</v>
      </c>
      <c r="N24" s="117">
        <f>M24/'Class VII'!L11</f>
        <v>0.75545454545454549</v>
      </c>
      <c r="O24" s="47" t="str">
        <f>IF(N24&gt;=85%,"Outstanding",IF(N24&gt;=80%,"Excellent",IF(N24&gt;=70%,"Very Good",IF(N24&gt;=60%,"Good",IF(N24&gt;=50%,"Satisfactory",IF(N24&gt;=40%,"Fair","Needs Attention"))))))</f>
        <v>Very Good</v>
      </c>
    </row>
    <row r="26" spans="1:15">
      <c r="A26" s="173" t="s">
        <v>40</v>
      </c>
      <c r="B26" s="174"/>
      <c r="C26" s="174"/>
      <c r="K26" s="173" t="s">
        <v>41</v>
      </c>
      <c r="L26" s="174"/>
      <c r="M26" s="174"/>
    </row>
    <row r="27" spans="1:15" ht="42.6" customHeight="1">
      <c r="A27" s="174"/>
      <c r="B27" s="174"/>
      <c r="C27" s="174"/>
      <c r="K27" s="174"/>
      <c r="L27" s="174"/>
      <c r="M27" s="174"/>
    </row>
    <row r="28" spans="1:15" ht="14.4" customHeight="1">
      <c r="A28" s="41" t="s">
        <v>40</v>
      </c>
      <c r="B28" s="42"/>
      <c r="C28" s="42"/>
      <c r="K28" s="41" t="s">
        <v>41</v>
      </c>
      <c r="L28" s="42"/>
      <c r="M28" s="42"/>
    </row>
    <row r="29" spans="1:15" ht="18">
      <c r="A29" s="42"/>
      <c r="B29" s="42"/>
      <c r="C29" s="2" t="s">
        <v>45</v>
      </c>
      <c r="D29" s="3" t="s">
        <v>46</v>
      </c>
      <c r="E29" s="3" t="s">
        <v>7</v>
      </c>
      <c r="F29" s="3" t="s">
        <v>166</v>
      </c>
      <c r="G29" s="3" t="s">
        <v>8</v>
      </c>
      <c r="H29" s="3" t="s">
        <v>57</v>
      </c>
      <c r="I29" s="3" t="s">
        <v>199</v>
      </c>
      <c r="J29" s="26" t="s">
        <v>85</v>
      </c>
      <c r="K29" s="26" t="s">
        <v>59</v>
      </c>
      <c r="L29" s="42"/>
      <c r="M29" s="147" t="s">
        <v>261</v>
      </c>
      <c r="N29" s="148"/>
    </row>
    <row r="30" spans="1:15" ht="18">
      <c r="C30" s="7" t="s">
        <v>48</v>
      </c>
      <c r="D30" s="110">
        <f>19-D32</f>
        <v>16</v>
      </c>
      <c r="E30" s="110">
        <f t="shared" ref="E30:K30" si="3">19-E32</f>
        <v>18</v>
      </c>
      <c r="F30" s="110">
        <f t="shared" si="3"/>
        <v>19</v>
      </c>
      <c r="G30" s="110">
        <f t="shared" si="3"/>
        <v>19</v>
      </c>
      <c r="H30" s="110">
        <f t="shared" si="3"/>
        <v>18</v>
      </c>
      <c r="I30" s="110">
        <f t="shared" si="3"/>
        <v>18</v>
      </c>
      <c r="J30" s="110">
        <f t="shared" si="3"/>
        <v>19</v>
      </c>
      <c r="K30" s="110">
        <f t="shared" si="3"/>
        <v>19</v>
      </c>
      <c r="M30" s="48" t="s">
        <v>43</v>
      </c>
      <c r="N30" s="63">
        <v>19</v>
      </c>
    </row>
    <row r="31" spans="1:15" ht="18">
      <c r="C31" s="10" t="s">
        <v>262</v>
      </c>
      <c r="D31" s="11">
        <f>D30/19</f>
        <v>0.84210526315789469</v>
      </c>
      <c r="E31" s="11">
        <f t="shared" ref="E31:K31" si="4">E30/19</f>
        <v>0.94736842105263153</v>
      </c>
      <c r="F31" s="11">
        <f t="shared" si="4"/>
        <v>1</v>
      </c>
      <c r="G31" s="11">
        <f t="shared" si="4"/>
        <v>1</v>
      </c>
      <c r="H31" s="11">
        <f t="shared" si="4"/>
        <v>0.94736842105263153</v>
      </c>
      <c r="I31" s="11">
        <f t="shared" si="4"/>
        <v>0.94736842105263153</v>
      </c>
      <c r="J31" s="11">
        <f t="shared" si="4"/>
        <v>1</v>
      </c>
      <c r="K31" s="11">
        <f t="shared" si="4"/>
        <v>1</v>
      </c>
      <c r="M31" s="49" t="s">
        <v>44</v>
      </c>
      <c r="N31" s="63">
        <v>19</v>
      </c>
    </row>
    <row r="32" spans="1:15" ht="18">
      <c r="C32" s="10" t="s">
        <v>52</v>
      </c>
      <c r="D32" s="61">
        <v>3</v>
      </c>
      <c r="E32" s="61">
        <v>1</v>
      </c>
      <c r="F32" s="61">
        <v>0</v>
      </c>
      <c r="G32" s="61">
        <v>0</v>
      </c>
      <c r="H32" s="61">
        <v>1</v>
      </c>
      <c r="I32" s="61">
        <v>1</v>
      </c>
      <c r="J32" s="61">
        <v>0</v>
      </c>
      <c r="K32" s="66">
        <v>0</v>
      </c>
      <c r="M32" s="49" t="s">
        <v>47</v>
      </c>
      <c r="N32" s="63">
        <v>18</v>
      </c>
    </row>
    <row r="33" spans="3:14" ht="18">
      <c r="C33" s="14" t="s">
        <v>54</v>
      </c>
      <c r="D33" s="15">
        <f t="shared" ref="D33:K33" si="5">100%-D31</f>
        <v>0.15789473684210531</v>
      </c>
      <c r="E33" s="15">
        <f t="shared" si="5"/>
        <v>5.2631578947368474E-2</v>
      </c>
      <c r="F33" s="15">
        <f t="shared" si="5"/>
        <v>0</v>
      </c>
      <c r="G33" s="15">
        <f t="shared" si="5"/>
        <v>0</v>
      </c>
      <c r="H33" s="15">
        <f t="shared" si="5"/>
        <v>5.2631578947368474E-2</v>
      </c>
      <c r="I33" s="15">
        <f t="shared" si="5"/>
        <v>5.2631578947368474E-2</v>
      </c>
      <c r="J33" s="15">
        <f t="shared" si="5"/>
        <v>0</v>
      </c>
      <c r="K33" s="30">
        <f t="shared" si="5"/>
        <v>0</v>
      </c>
      <c r="M33" s="49" t="s">
        <v>49</v>
      </c>
      <c r="N33" s="21">
        <f>N32/N31</f>
        <v>0.94736842105263153</v>
      </c>
    </row>
    <row r="34" spans="3:14" ht="18">
      <c r="M34" s="49" t="s">
        <v>51</v>
      </c>
      <c r="N34" s="20">
        <f>N31-N32</f>
        <v>1</v>
      </c>
    </row>
    <row r="35" spans="3:14" ht="18">
      <c r="C35" s="18"/>
      <c r="D35" s="18"/>
      <c r="E35" s="18"/>
      <c r="F35" s="18"/>
      <c r="G35" s="18"/>
      <c r="H35" s="18"/>
      <c r="I35" s="18"/>
      <c r="J35" s="31"/>
      <c r="K35" s="18"/>
      <c r="M35" s="50" t="s">
        <v>53</v>
      </c>
      <c r="N35" s="22">
        <f>N34/N31</f>
        <v>5.2631578947368418E-2</v>
      </c>
    </row>
    <row r="36" spans="3:14" ht="18">
      <c r="E36" s="19"/>
    </row>
    <row r="37" spans="3:14" ht="18">
      <c r="E37" s="19"/>
    </row>
    <row r="38" spans="3:14" ht="18">
      <c r="E38" s="19"/>
    </row>
    <row r="39" spans="3:14" ht="18">
      <c r="E39" s="19"/>
    </row>
    <row r="40" spans="3:14" ht="18">
      <c r="E40" s="19"/>
    </row>
    <row r="41" spans="3:14" ht="18">
      <c r="E41" s="19"/>
    </row>
    <row r="42" spans="3:14" ht="18">
      <c r="E42" s="19"/>
    </row>
  </sheetData>
  <mergeCells count="14">
    <mergeCell ref="A1:O1"/>
    <mergeCell ref="A2:O2"/>
    <mergeCell ref="A3:C3"/>
    <mergeCell ref="D3:K3"/>
    <mergeCell ref="L3:O3"/>
    <mergeCell ref="O4:O5"/>
    <mergeCell ref="A26:C27"/>
    <mergeCell ref="K26:M27"/>
    <mergeCell ref="M29:N29"/>
    <mergeCell ref="A4:A5"/>
    <mergeCell ref="B4:B5"/>
    <mergeCell ref="C4:C5"/>
    <mergeCell ref="M4:M5"/>
    <mergeCell ref="N4:N5"/>
  </mergeCells>
  <conditionalFormatting sqref="D6:G9 D24:G24">
    <cfRule type="cellIs" dxfId="42" priority="31" operator="lessThan">
      <formula>40</formula>
    </cfRule>
  </conditionalFormatting>
  <conditionalFormatting sqref="D11:G22">
    <cfRule type="cellIs" dxfId="41" priority="4" operator="lessThan">
      <formula>40</formula>
    </cfRule>
  </conditionalFormatting>
  <conditionalFormatting sqref="D10:I10">
    <cfRule type="cellIs" dxfId="40" priority="2" operator="lessThan">
      <formula>40</formula>
    </cfRule>
  </conditionalFormatting>
  <conditionalFormatting sqref="D23:I23">
    <cfRule type="cellIs" dxfId="39" priority="22" operator="lessThan">
      <formula>40</formula>
    </cfRule>
  </conditionalFormatting>
  <conditionalFormatting sqref="D31:K31">
    <cfRule type="cellIs" dxfId="38" priority="41" operator="lessThan">
      <formula>0.5</formula>
    </cfRule>
  </conditionalFormatting>
  <conditionalFormatting sqref="H6:H9 H11:H21 H24">
    <cfRule type="containsText" dxfId="37" priority="28" operator="containsText" text="F">
      <formula>NOT(ISERROR(SEARCH("F",H6)))</formula>
    </cfRule>
  </conditionalFormatting>
  <conditionalFormatting sqref="H6:K9 H21 H24:K24">
    <cfRule type="cellIs" dxfId="36" priority="30" operator="lessThan">
      <formula>20</formula>
    </cfRule>
  </conditionalFormatting>
  <conditionalFormatting sqref="H11:K20">
    <cfRule type="cellIs" dxfId="35" priority="9" operator="lessThan">
      <formula>20</formula>
    </cfRule>
  </conditionalFormatting>
  <conditionalFormatting sqref="H22:K22">
    <cfRule type="cellIs" dxfId="34" priority="3" operator="lessThan">
      <formula>20</formula>
    </cfRule>
  </conditionalFormatting>
  <conditionalFormatting sqref="I21:K21">
    <cfRule type="cellIs" dxfId="33" priority="27" operator="lessThan">
      <formula>40</formula>
    </cfRule>
  </conditionalFormatting>
  <conditionalFormatting sqref="J10:K10">
    <cfRule type="cellIs" dxfId="32" priority="1" operator="lessThan">
      <formula>20</formula>
    </cfRule>
  </conditionalFormatting>
  <conditionalFormatting sqref="J23:K23">
    <cfRule type="cellIs" dxfId="31" priority="21" operator="lessThan">
      <formula>20</formula>
    </cfRule>
  </conditionalFormatting>
  <conditionalFormatting sqref="M6:M24">
    <cfRule type="cellIs" dxfId="30" priority="5" operator="lessThan">
      <formula>80</formula>
    </cfRule>
    <cfRule type="cellIs" dxfId="29" priority="8" operator="lessThan">
      <formula>66</formula>
    </cfRule>
  </conditionalFormatting>
  <conditionalFormatting sqref="N6:N24">
    <cfRule type="cellIs" dxfId="28" priority="6" operator="lessThan">
      <formula>0.4</formula>
    </cfRule>
    <cfRule type="cellIs" dxfId="27" priority="7" operator="lessThan">
      <formula>0.33</formula>
    </cfRule>
  </conditionalFormatting>
  <printOptions horizontalCentered="1"/>
  <pageMargins left="0.25" right="0.25" top="0.75" bottom="0.75" header="0.3" footer="0.3"/>
  <pageSetup paperSize="9" scale="79" fitToHeight="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31"/>
  <sheetViews>
    <sheetView zoomScale="85" zoomScaleNormal="85" zoomScaleSheetLayoutView="85" workbookViewId="0">
      <selection activeCell="O20" sqref="O20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10.21875" customWidth="1"/>
    <col min="15" max="15" width="18.109375" customWidth="1"/>
  </cols>
  <sheetData>
    <row r="1" spans="1:15" ht="32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2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9.95" customHeight="1" thickBot="1">
      <c r="A3" s="168" t="s">
        <v>263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98" t="s">
        <v>6</v>
      </c>
      <c r="E4" s="98" t="s">
        <v>7</v>
      </c>
      <c r="F4" s="98" t="s">
        <v>8</v>
      </c>
      <c r="G4" s="98" t="s">
        <v>264</v>
      </c>
      <c r="H4" s="98" t="s">
        <v>265</v>
      </c>
      <c r="I4" s="98" t="s">
        <v>266</v>
      </c>
      <c r="J4" s="99" t="s">
        <v>57</v>
      </c>
      <c r="K4" s="98" t="s">
        <v>58</v>
      </c>
      <c r="L4" s="128" t="s">
        <v>10</v>
      </c>
      <c r="M4" s="188" t="s">
        <v>11</v>
      </c>
      <c r="N4" s="190" t="s">
        <v>12</v>
      </c>
      <c r="O4" s="157" t="s">
        <v>13</v>
      </c>
    </row>
    <row r="5" spans="1:15" ht="15.6">
      <c r="A5" s="150"/>
      <c r="B5" s="152"/>
      <c r="C5" s="152"/>
      <c r="D5" s="96">
        <v>100</v>
      </c>
      <c r="E5" s="96">
        <v>100</v>
      </c>
      <c r="F5" s="96">
        <v>100</v>
      </c>
      <c r="G5" s="96">
        <v>100</v>
      </c>
      <c r="H5" s="96">
        <v>100</v>
      </c>
      <c r="I5" s="96">
        <v>100</v>
      </c>
      <c r="J5" s="78" t="s">
        <v>317</v>
      </c>
      <c r="K5" s="96">
        <v>50</v>
      </c>
      <c r="L5" s="97">
        <f>SUM(D5:K5)</f>
        <v>650</v>
      </c>
      <c r="M5" s="189"/>
      <c r="N5" s="191"/>
      <c r="O5" s="158"/>
    </row>
    <row r="6" spans="1:15" ht="15.6">
      <c r="A6" s="82">
        <v>1</v>
      </c>
      <c r="B6" s="84" t="s">
        <v>267</v>
      </c>
      <c r="C6" s="85" t="s">
        <v>268</v>
      </c>
      <c r="D6" s="108">
        <v>91</v>
      </c>
      <c r="E6" s="108">
        <v>93</v>
      </c>
      <c r="F6" s="108">
        <v>94</v>
      </c>
      <c r="G6" s="108">
        <v>93</v>
      </c>
      <c r="H6" s="108">
        <v>94</v>
      </c>
      <c r="I6" s="108">
        <v>95.5</v>
      </c>
      <c r="J6" s="108" t="s">
        <v>315</v>
      </c>
      <c r="K6" s="108">
        <v>48</v>
      </c>
      <c r="L6" s="75">
        <v>650</v>
      </c>
      <c r="M6" s="43">
        <f t="shared" ref="M6:M12" si="0">SUM(D6:K6)</f>
        <v>608.5</v>
      </c>
      <c r="N6" s="116">
        <f>M6/L5</f>
        <v>0.93615384615384611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84" t="s">
        <v>269</v>
      </c>
      <c r="C7" s="85" t="s">
        <v>270</v>
      </c>
      <c r="D7" s="108">
        <v>40.5</v>
      </c>
      <c r="E7" s="108">
        <v>48</v>
      </c>
      <c r="F7" s="108">
        <v>64</v>
      </c>
      <c r="G7" s="108">
        <v>46</v>
      </c>
      <c r="H7" s="108">
        <v>66</v>
      </c>
      <c r="I7" s="108">
        <v>60</v>
      </c>
      <c r="J7" s="108" t="s">
        <v>316</v>
      </c>
      <c r="K7" s="108">
        <v>35</v>
      </c>
      <c r="L7" s="75">
        <v>650</v>
      </c>
      <c r="M7" s="43">
        <f t="shared" si="0"/>
        <v>359.5</v>
      </c>
      <c r="N7" s="116">
        <f t="shared" ref="N7:N11" si="1">M7/L6</f>
        <v>0.55307692307692302</v>
      </c>
      <c r="O7" s="44" t="str">
        <f t="shared" ref="O7:O12" si="2">IF(N7&gt;=85%,"Outstanding",IF(N7&gt;=80%,"Excellent",IF(N7&gt;=70%,"Very Good",IF(N7&gt;=60%,"Good",IF(N7&gt;=50%,"Satisfactory",IF(N7&gt;=40%,"Fair","Needs Attention"))))))</f>
        <v>Satisfactory</v>
      </c>
    </row>
    <row r="8" spans="1:15" ht="15.6">
      <c r="A8" s="82">
        <v>3</v>
      </c>
      <c r="B8" s="84" t="s">
        <v>273</v>
      </c>
      <c r="C8" s="85" t="s">
        <v>274</v>
      </c>
      <c r="D8" s="108">
        <v>65.5</v>
      </c>
      <c r="E8" s="108">
        <v>74</v>
      </c>
      <c r="F8" s="108">
        <v>42</v>
      </c>
      <c r="G8" s="108">
        <v>65.5</v>
      </c>
      <c r="H8" s="108">
        <v>67</v>
      </c>
      <c r="I8" s="108">
        <v>85</v>
      </c>
      <c r="J8" s="108" t="s">
        <v>314</v>
      </c>
      <c r="K8" s="108">
        <v>48</v>
      </c>
      <c r="L8" s="75">
        <v>650</v>
      </c>
      <c r="M8" s="43">
        <f t="shared" si="0"/>
        <v>447</v>
      </c>
      <c r="N8" s="116">
        <f>M8/L7</f>
        <v>0.68769230769230771</v>
      </c>
      <c r="O8" s="44" t="str">
        <f t="shared" si="2"/>
        <v>Good</v>
      </c>
    </row>
    <row r="9" spans="1:15" ht="15.6">
      <c r="A9" s="82">
        <v>4</v>
      </c>
      <c r="B9" s="84" t="s">
        <v>275</v>
      </c>
      <c r="C9" s="85" t="s">
        <v>276</v>
      </c>
      <c r="D9" s="108">
        <v>57</v>
      </c>
      <c r="E9" s="108">
        <v>65.5</v>
      </c>
      <c r="F9" s="108">
        <v>61.5</v>
      </c>
      <c r="G9" s="108">
        <v>64</v>
      </c>
      <c r="H9" s="108">
        <v>56</v>
      </c>
      <c r="I9" s="108">
        <v>92.5</v>
      </c>
      <c r="J9" s="108" t="s">
        <v>314</v>
      </c>
      <c r="K9" s="108">
        <v>46</v>
      </c>
      <c r="L9" s="75">
        <v>650</v>
      </c>
      <c r="M9" s="43">
        <f t="shared" si="0"/>
        <v>442.5</v>
      </c>
      <c r="N9" s="116">
        <f t="shared" si="1"/>
        <v>0.68076923076923079</v>
      </c>
      <c r="O9" s="44" t="str">
        <f t="shared" si="2"/>
        <v>Good</v>
      </c>
    </row>
    <row r="10" spans="1:15" ht="15.6">
      <c r="A10" s="82">
        <v>5</v>
      </c>
      <c r="B10" s="84" t="s">
        <v>277</v>
      </c>
      <c r="C10" s="85" t="s">
        <v>278</v>
      </c>
      <c r="D10" s="108">
        <v>98.5</v>
      </c>
      <c r="E10" s="108">
        <v>100</v>
      </c>
      <c r="F10" s="108">
        <v>99</v>
      </c>
      <c r="G10" s="108">
        <v>100</v>
      </c>
      <c r="H10" s="108">
        <v>100</v>
      </c>
      <c r="I10" s="108">
        <v>97.5</v>
      </c>
      <c r="J10" s="108" t="s">
        <v>314</v>
      </c>
      <c r="K10" s="108">
        <v>50</v>
      </c>
      <c r="L10" s="75">
        <v>650</v>
      </c>
      <c r="M10" s="43">
        <f t="shared" si="0"/>
        <v>645</v>
      </c>
      <c r="N10" s="116">
        <f t="shared" si="1"/>
        <v>0.99230769230769234</v>
      </c>
      <c r="O10" s="44" t="str">
        <f t="shared" si="2"/>
        <v>Outstanding</v>
      </c>
    </row>
    <row r="11" spans="1:15" ht="15.6">
      <c r="A11" s="82">
        <v>6</v>
      </c>
      <c r="B11" s="84" t="s">
        <v>279</v>
      </c>
      <c r="C11" s="85" t="s">
        <v>280</v>
      </c>
      <c r="D11" s="108">
        <v>71</v>
      </c>
      <c r="E11" s="108">
        <v>90</v>
      </c>
      <c r="F11" s="108">
        <v>77</v>
      </c>
      <c r="G11" s="108">
        <v>80</v>
      </c>
      <c r="H11" s="108">
        <v>98.5</v>
      </c>
      <c r="I11" s="108">
        <v>94</v>
      </c>
      <c r="J11" s="108" t="s">
        <v>314</v>
      </c>
      <c r="K11" s="108">
        <v>44.5</v>
      </c>
      <c r="L11" s="75">
        <v>650</v>
      </c>
      <c r="M11" s="43">
        <f t="shared" si="0"/>
        <v>555</v>
      </c>
      <c r="N11" s="116">
        <f t="shared" si="1"/>
        <v>0.85384615384615381</v>
      </c>
      <c r="O11" s="44" t="str">
        <f t="shared" si="2"/>
        <v>Outstanding</v>
      </c>
    </row>
    <row r="12" spans="1:15" ht="16.2" thickBot="1">
      <c r="A12" s="83">
        <v>7</v>
      </c>
      <c r="B12" s="141" t="s">
        <v>281</v>
      </c>
      <c r="C12" s="87" t="s">
        <v>282</v>
      </c>
      <c r="D12" s="109">
        <v>40</v>
      </c>
      <c r="E12" s="109">
        <v>30.5</v>
      </c>
      <c r="F12" s="109">
        <v>47</v>
      </c>
      <c r="G12" s="109">
        <v>50</v>
      </c>
      <c r="H12" s="109">
        <v>60</v>
      </c>
      <c r="I12" s="109">
        <v>41</v>
      </c>
      <c r="J12" s="109" t="s">
        <v>316</v>
      </c>
      <c r="K12" s="109">
        <v>30</v>
      </c>
      <c r="L12" s="45">
        <v>650</v>
      </c>
      <c r="M12" s="46">
        <f t="shared" si="0"/>
        <v>298.5</v>
      </c>
      <c r="N12" s="117">
        <f>M12/L11</f>
        <v>0.45923076923076922</v>
      </c>
      <c r="O12" s="47" t="str">
        <f t="shared" si="2"/>
        <v>Fair</v>
      </c>
    </row>
    <row r="15" spans="1:15">
      <c r="A15" s="173" t="s">
        <v>40</v>
      </c>
      <c r="B15" s="174"/>
      <c r="C15" s="174"/>
      <c r="K15" s="173" t="s">
        <v>41</v>
      </c>
      <c r="L15" s="174"/>
      <c r="M15" s="174"/>
    </row>
    <row r="16" spans="1:15" ht="51" customHeight="1">
      <c r="A16" s="174"/>
      <c r="B16" s="174"/>
      <c r="C16" s="174"/>
      <c r="K16" s="174"/>
      <c r="L16" s="174"/>
      <c r="M16" s="174"/>
    </row>
    <row r="17" spans="1:14" ht="14.4" customHeight="1">
      <c r="A17" s="41" t="s">
        <v>40</v>
      </c>
      <c r="B17" s="42"/>
      <c r="C17" s="42"/>
      <c r="K17" s="41" t="s">
        <v>41</v>
      </c>
      <c r="L17" s="42"/>
      <c r="M17" s="147" t="s">
        <v>285</v>
      </c>
      <c r="N17" s="148"/>
    </row>
    <row r="18" spans="1:14" ht="18">
      <c r="A18" s="42"/>
      <c r="B18" s="42"/>
      <c r="C18" s="2" t="s">
        <v>45</v>
      </c>
      <c r="D18" s="3" t="s">
        <v>46</v>
      </c>
      <c r="E18" s="3" t="s">
        <v>7</v>
      </c>
      <c r="F18" s="3" t="s">
        <v>8</v>
      </c>
      <c r="G18" s="3" t="s">
        <v>264</v>
      </c>
      <c r="H18" s="3" t="s">
        <v>265</v>
      </c>
      <c r="I18" s="3" t="s">
        <v>266</v>
      </c>
      <c r="J18" s="26" t="s">
        <v>57</v>
      </c>
      <c r="K18" s="26" t="s">
        <v>58</v>
      </c>
      <c r="L18" s="42"/>
      <c r="M18" s="48" t="s">
        <v>43</v>
      </c>
      <c r="N18" s="63">
        <v>7</v>
      </c>
    </row>
    <row r="19" spans="1:14" ht="18">
      <c r="C19" s="7" t="s">
        <v>48</v>
      </c>
      <c r="D19" s="110">
        <f>7-D21</f>
        <v>7</v>
      </c>
      <c r="E19" s="110">
        <f t="shared" ref="E19:K19" si="3">7-E21</f>
        <v>6</v>
      </c>
      <c r="F19" s="110">
        <f t="shared" si="3"/>
        <v>7</v>
      </c>
      <c r="G19" s="110">
        <f t="shared" si="3"/>
        <v>7</v>
      </c>
      <c r="H19" s="110">
        <f t="shared" si="3"/>
        <v>7</v>
      </c>
      <c r="I19" s="110">
        <f t="shared" si="3"/>
        <v>7</v>
      </c>
      <c r="J19" s="110">
        <f t="shared" si="3"/>
        <v>7</v>
      </c>
      <c r="K19" s="111">
        <f t="shared" si="3"/>
        <v>7</v>
      </c>
      <c r="M19" s="49" t="s">
        <v>44</v>
      </c>
      <c r="N19" s="63">
        <v>7</v>
      </c>
    </row>
    <row r="20" spans="1:14" ht="18">
      <c r="C20" s="10" t="s">
        <v>262</v>
      </c>
      <c r="D20" s="11">
        <f>D19/7</f>
        <v>1</v>
      </c>
      <c r="E20" s="11">
        <f t="shared" ref="E20:K20" si="4">E19/7</f>
        <v>0.8571428571428571</v>
      </c>
      <c r="F20" s="11">
        <f t="shared" si="4"/>
        <v>1</v>
      </c>
      <c r="G20" s="11">
        <f t="shared" si="4"/>
        <v>1</v>
      </c>
      <c r="H20" s="11">
        <f t="shared" si="4"/>
        <v>1</v>
      </c>
      <c r="I20" s="11">
        <f t="shared" si="4"/>
        <v>1</v>
      </c>
      <c r="J20" s="11">
        <f t="shared" si="4"/>
        <v>1</v>
      </c>
      <c r="K20" s="28">
        <f t="shared" si="4"/>
        <v>1</v>
      </c>
      <c r="M20" s="49" t="s">
        <v>47</v>
      </c>
      <c r="N20" s="63">
        <v>7</v>
      </c>
    </row>
    <row r="21" spans="1:14" ht="18">
      <c r="C21" s="10" t="s">
        <v>52</v>
      </c>
      <c r="D21" s="61">
        <v>0</v>
      </c>
      <c r="E21" s="61">
        <v>1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6">
        <v>0</v>
      </c>
      <c r="M21" s="49" t="s">
        <v>49</v>
      </c>
      <c r="N21" s="21">
        <f>N20/N19</f>
        <v>1</v>
      </c>
    </row>
    <row r="22" spans="1:14" ht="18">
      <c r="C22" s="14" t="s">
        <v>54</v>
      </c>
      <c r="D22" s="15">
        <f t="shared" ref="D22:K22" si="5">100%-D20</f>
        <v>0</v>
      </c>
      <c r="E22" s="15">
        <f t="shared" si="5"/>
        <v>0.1428571428571429</v>
      </c>
      <c r="F22" s="15">
        <f t="shared" si="5"/>
        <v>0</v>
      </c>
      <c r="G22" s="15">
        <f t="shared" si="5"/>
        <v>0</v>
      </c>
      <c r="H22" s="15">
        <f t="shared" si="5"/>
        <v>0</v>
      </c>
      <c r="I22" s="15">
        <f t="shared" si="5"/>
        <v>0</v>
      </c>
      <c r="J22" s="15">
        <f t="shared" si="5"/>
        <v>0</v>
      </c>
      <c r="K22" s="30">
        <f t="shared" si="5"/>
        <v>0</v>
      </c>
      <c r="M22" s="49" t="s">
        <v>51</v>
      </c>
      <c r="N22" s="20">
        <f>N19-N20</f>
        <v>0</v>
      </c>
    </row>
    <row r="23" spans="1:14" ht="18">
      <c r="M23" s="50" t="s">
        <v>53</v>
      </c>
      <c r="N23" s="22">
        <f>N22/N19</f>
        <v>0</v>
      </c>
    </row>
    <row r="24" spans="1:14">
      <c r="C24" s="18"/>
      <c r="D24" s="18"/>
      <c r="E24" s="18"/>
      <c r="F24" s="18"/>
      <c r="G24" s="18"/>
      <c r="H24" s="18"/>
      <c r="I24" s="18"/>
      <c r="J24" s="31"/>
      <c r="K24" s="18"/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mergeCells count="14">
    <mergeCell ref="A1:O1"/>
    <mergeCell ref="A2:O2"/>
    <mergeCell ref="A3:C3"/>
    <mergeCell ref="D3:K3"/>
    <mergeCell ref="L3:O3"/>
    <mergeCell ref="O4:O5"/>
    <mergeCell ref="A15:C16"/>
    <mergeCell ref="K15:M16"/>
    <mergeCell ref="M17:N17"/>
    <mergeCell ref="A4:A5"/>
    <mergeCell ref="B4:B5"/>
    <mergeCell ref="C4:C5"/>
    <mergeCell ref="M4:M5"/>
    <mergeCell ref="N4:N5"/>
  </mergeCells>
  <conditionalFormatting sqref="D6:I12">
    <cfRule type="cellIs" dxfId="26" priority="2" operator="lessThan">
      <formula>40</formula>
    </cfRule>
  </conditionalFormatting>
  <conditionalFormatting sqref="D20:K20">
    <cfRule type="cellIs" dxfId="25" priority="3" operator="lessThan">
      <formula>0.5</formula>
    </cfRule>
  </conditionalFormatting>
  <conditionalFormatting sqref="J6:K12">
    <cfRule type="cellIs" dxfId="24" priority="1" operator="lessThan">
      <formula>20</formula>
    </cfRule>
  </conditionalFormatting>
  <conditionalFormatting sqref="M6:M12">
    <cfRule type="cellIs" dxfId="23" priority="7" operator="lessThan">
      <formula>80</formula>
    </cfRule>
    <cfRule type="cellIs" dxfId="22" priority="9" operator="lessThan">
      <formula>66</formula>
    </cfRule>
  </conditionalFormatting>
  <conditionalFormatting sqref="N6:N12">
    <cfRule type="cellIs" dxfId="21" priority="6" operator="lessThan">
      <formula>0.4</formula>
    </cfRule>
    <cfRule type="cellIs" dxfId="20" priority="8" operator="lessThan">
      <formula>0.33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6"/>
  <sheetViews>
    <sheetView view="pageBreakPreview" zoomScale="60" zoomScaleNormal="85" workbookViewId="0">
      <selection activeCell="H22" sqref="H22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9.33203125" customWidth="1"/>
    <col min="15" max="15" width="18.44140625" customWidth="1"/>
  </cols>
  <sheetData>
    <row r="1" spans="1:15" ht="40.200000000000003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2.8" customHeight="1" thickBot="1">
      <c r="A2" s="192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9.95" customHeight="1" thickBot="1">
      <c r="A3" s="168" t="s">
        <v>286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100" t="s">
        <v>6</v>
      </c>
      <c r="E4" s="100" t="s">
        <v>7</v>
      </c>
      <c r="F4" s="100" t="s">
        <v>8</v>
      </c>
      <c r="G4" s="100" t="s">
        <v>264</v>
      </c>
      <c r="H4" s="100" t="s">
        <v>265</v>
      </c>
      <c r="I4" s="100" t="s">
        <v>266</v>
      </c>
      <c r="J4" s="101" t="s">
        <v>57</v>
      </c>
      <c r="K4" s="100" t="s">
        <v>287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8">
        <v>100</v>
      </c>
      <c r="J5" s="78" t="s">
        <v>317</v>
      </c>
      <c r="K5" s="78">
        <v>50</v>
      </c>
      <c r="L5" s="75">
        <f>SUM(D5:K5)</f>
        <v>650</v>
      </c>
      <c r="M5" s="154"/>
      <c r="N5" s="156"/>
      <c r="O5" s="158"/>
    </row>
    <row r="6" spans="1:15" ht="15.6">
      <c r="A6" s="89">
        <v>1</v>
      </c>
      <c r="B6" s="84" t="s">
        <v>288</v>
      </c>
      <c r="C6" s="84" t="s">
        <v>289</v>
      </c>
      <c r="D6" s="108">
        <v>36</v>
      </c>
      <c r="E6" s="108">
        <v>53.5</v>
      </c>
      <c r="F6" s="108">
        <v>53</v>
      </c>
      <c r="G6" s="108">
        <v>71</v>
      </c>
      <c r="H6" s="108">
        <v>68</v>
      </c>
      <c r="I6" s="108">
        <v>83.5</v>
      </c>
      <c r="J6" s="108" t="s">
        <v>314</v>
      </c>
      <c r="K6" s="108">
        <v>28</v>
      </c>
      <c r="L6" s="75">
        <v>650</v>
      </c>
      <c r="M6" s="43">
        <f>SUM(D6:K6)</f>
        <v>393</v>
      </c>
      <c r="N6" s="116">
        <f>M6/L5</f>
        <v>0.60461538461538467</v>
      </c>
      <c r="O6" s="44" t="str">
        <f>IF(N6&gt;=85%,"Outstanding",IF(N6&gt;=80%,"Excellent",IF(N6&gt;=70%,"Very Good",IF(N6&gt;=60%,"Good",IF(N6&gt;=50%,"Satisfactory",IF(N6&gt;=40%,"Fair","Needs Attention"))))))</f>
        <v>Good</v>
      </c>
    </row>
    <row r="7" spans="1:15" ht="15.6">
      <c r="A7" s="89">
        <v>2</v>
      </c>
      <c r="B7" s="84" t="s">
        <v>290</v>
      </c>
      <c r="C7" s="124" t="s">
        <v>323</v>
      </c>
      <c r="D7" s="108">
        <v>54</v>
      </c>
      <c r="E7" s="108">
        <v>85.5</v>
      </c>
      <c r="F7" s="108">
        <v>82</v>
      </c>
      <c r="G7" s="108">
        <v>59</v>
      </c>
      <c r="H7" s="108">
        <v>74</v>
      </c>
      <c r="I7" s="108">
        <v>83.5</v>
      </c>
      <c r="J7" s="108" t="s">
        <v>314</v>
      </c>
      <c r="K7" s="108">
        <v>31</v>
      </c>
      <c r="L7" s="75">
        <v>650</v>
      </c>
      <c r="M7" s="43">
        <f>SUM(D7:K7)</f>
        <v>469</v>
      </c>
      <c r="N7" s="116">
        <f>M7/L6</f>
        <v>0.72153846153846157</v>
      </c>
      <c r="O7" s="44" t="str">
        <f>IF(N7&gt;=85%,"Outstanding",IF(N7&gt;=80%,"Excellent",IF(N7&gt;=70%,"Very Good",IF(N7&gt;=60%,"Good",IF(N7&gt;=50%,"Satisfactory",IF(N7&gt;=40%,"Fair","Needs Attention"))))))</f>
        <v>Very Good</v>
      </c>
    </row>
    <row r="8" spans="1:15" ht="16.2" thickBot="1">
      <c r="A8" s="90">
        <v>3</v>
      </c>
      <c r="B8" s="102" t="s">
        <v>291</v>
      </c>
      <c r="C8" s="102" t="s">
        <v>292</v>
      </c>
      <c r="D8" s="109">
        <v>87.5</v>
      </c>
      <c r="E8" s="109">
        <v>98</v>
      </c>
      <c r="F8" s="109">
        <v>99.5</v>
      </c>
      <c r="G8" s="109">
        <v>93</v>
      </c>
      <c r="H8" s="109">
        <v>92</v>
      </c>
      <c r="I8" s="109">
        <v>94</v>
      </c>
      <c r="J8" s="109" t="s">
        <v>314</v>
      </c>
      <c r="K8" s="109">
        <v>42</v>
      </c>
      <c r="L8" s="45">
        <v>650</v>
      </c>
      <c r="M8" s="46">
        <f>SUM(D8:K8)</f>
        <v>606</v>
      </c>
      <c r="N8" s="117">
        <f>M8/L7</f>
        <v>0.93230769230769228</v>
      </c>
      <c r="O8" s="44" t="str">
        <f>IF(N8&gt;=85%,"Outstanding",IF(N8&gt;=80%,"Excellent",IF(N8&gt;=70%,"Very Good",IF(N8&gt;=60%,"Good",IF(N8&gt;=50%,"Satisfactory",IF(N8&gt;=40%,"Fair","Needs Attention"))))))</f>
        <v>Outstanding</v>
      </c>
    </row>
    <row r="10" spans="1:15">
      <c r="A10" s="173" t="s">
        <v>40</v>
      </c>
      <c r="B10" s="174"/>
      <c r="C10" s="174"/>
      <c r="K10" s="173" t="s">
        <v>41</v>
      </c>
      <c r="L10" s="174"/>
      <c r="M10" s="174"/>
    </row>
    <row r="11" spans="1:15" ht="62.4" customHeight="1">
      <c r="A11" s="174"/>
      <c r="B11" s="174"/>
      <c r="C11" s="174"/>
      <c r="K11" s="174"/>
      <c r="L11" s="174"/>
      <c r="M11" s="174"/>
    </row>
    <row r="12" spans="1:15" ht="14.4" customHeight="1">
      <c r="A12" s="41" t="s">
        <v>40</v>
      </c>
      <c r="B12" s="42"/>
      <c r="C12" s="42"/>
      <c r="K12" s="41" t="s">
        <v>41</v>
      </c>
      <c r="L12" s="42"/>
      <c r="M12" s="147" t="s">
        <v>293</v>
      </c>
      <c r="N12" s="148"/>
    </row>
    <row r="13" spans="1:15" ht="18">
      <c r="A13" s="42"/>
      <c r="B13" s="42"/>
      <c r="C13" s="2" t="s">
        <v>45</v>
      </c>
      <c r="D13" s="3" t="s">
        <v>46</v>
      </c>
      <c r="E13" s="3" t="s">
        <v>7</v>
      </c>
      <c r="F13" s="3" t="s">
        <v>8</v>
      </c>
      <c r="G13" s="3" t="s">
        <v>264</v>
      </c>
      <c r="H13" s="3" t="s">
        <v>265</v>
      </c>
      <c r="I13" s="3" t="s">
        <v>266</v>
      </c>
      <c r="J13" s="26" t="s">
        <v>57</v>
      </c>
      <c r="K13" s="26" t="s">
        <v>58</v>
      </c>
      <c r="L13" s="42"/>
      <c r="M13" s="48" t="s">
        <v>43</v>
      </c>
      <c r="N13" s="63">
        <v>3</v>
      </c>
    </row>
    <row r="14" spans="1:15" ht="18">
      <c r="C14" s="7" t="s">
        <v>48</v>
      </c>
      <c r="D14" s="110">
        <f>3-D16</f>
        <v>2</v>
      </c>
      <c r="E14" s="110">
        <f t="shared" ref="E14:K14" si="0">3-E16</f>
        <v>3</v>
      </c>
      <c r="F14" s="110">
        <f t="shared" si="0"/>
        <v>3</v>
      </c>
      <c r="G14" s="110">
        <f t="shared" si="0"/>
        <v>3</v>
      </c>
      <c r="H14" s="110">
        <f t="shared" si="0"/>
        <v>3</v>
      </c>
      <c r="I14" s="110">
        <f t="shared" si="0"/>
        <v>3</v>
      </c>
      <c r="J14" s="110">
        <f t="shared" si="0"/>
        <v>3</v>
      </c>
      <c r="K14" s="111">
        <f t="shared" si="0"/>
        <v>3</v>
      </c>
      <c r="M14" s="49" t="s">
        <v>44</v>
      </c>
      <c r="N14" s="63">
        <v>3</v>
      </c>
    </row>
    <row r="15" spans="1:15" ht="18">
      <c r="C15" s="10" t="s">
        <v>262</v>
      </c>
      <c r="D15" s="11">
        <f>D14/3</f>
        <v>0.66666666666666663</v>
      </c>
      <c r="E15" s="11">
        <f t="shared" ref="E15:K15" si="1">E14/3</f>
        <v>1</v>
      </c>
      <c r="F15" s="11">
        <f t="shared" si="1"/>
        <v>1</v>
      </c>
      <c r="G15" s="11">
        <f t="shared" si="1"/>
        <v>1</v>
      </c>
      <c r="H15" s="11">
        <f t="shared" si="1"/>
        <v>1</v>
      </c>
      <c r="I15" s="11">
        <f t="shared" si="1"/>
        <v>1</v>
      </c>
      <c r="J15" s="11">
        <f t="shared" si="1"/>
        <v>1</v>
      </c>
      <c r="K15" s="28">
        <f t="shared" si="1"/>
        <v>1</v>
      </c>
      <c r="M15" s="49" t="s">
        <v>47</v>
      </c>
      <c r="N15" s="63">
        <v>3</v>
      </c>
    </row>
    <row r="16" spans="1:15" ht="18">
      <c r="C16" s="10" t="s">
        <v>52</v>
      </c>
      <c r="D16" s="61">
        <v>1</v>
      </c>
      <c r="E16" s="61">
        <v>0</v>
      </c>
      <c r="F16" s="61"/>
      <c r="G16" s="61">
        <v>0</v>
      </c>
      <c r="H16" s="61">
        <v>0</v>
      </c>
      <c r="I16" s="61">
        <v>0</v>
      </c>
      <c r="J16" s="61">
        <v>0</v>
      </c>
      <c r="K16" s="66">
        <v>0</v>
      </c>
      <c r="M16" s="49" t="s">
        <v>49</v>
      </c>
      <c r="N16" s="21">
        <f>N15/N14</f>
        <v>1</v>
      </c>
    </row>
    <row r="17" spans="3:14" ht="18">
      <c r="C17" s="14" t="s">
        <v>54</v>
      </c>
      <c r="D17" s="15">
        <f t="shared" ref="D17:K17" si="2">100%-D15</f>
        <v>0.33333333333333337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30">
        <f t="shared" si="2"/>
        <v>0</v>
      </c>
      <c r="M17" s="49" t="s">
        <v>51</v>
      </c>
      <c r="N17" s="20">
        <f>N14-N15</f>
        <v>0</v>
      </c>
    </row>
    <row r="18" spans="3:14" ht="18">
      <c r="M18" s="50" t="s">
        <v>53</v>
      </c>
      <c r="N18" s="22">
        <f>N17/N14</f>
        <v>0</v>
      </c>
    </row>
    <row r="19" spans="3:14">
      <c r="C19" s="18"/>
      <c r="D19" s="18"/>
      <c r="E19" s="18"/>
      <c r="F19" s="18"/>
      <c r="G19" s="18"/>
      <c r="H19" s="18"/>
      <c r="I19" s="18"/>
      <c r="J19" s="31"/>
      <c r="K19" s="18"/>
    </row>
    <row r="20" spans="3:14" ht="18">
      <c r="E20" s="19"/>
    </row>
    <row r="21" spans="3:14" ht="15.6" customHeight="1">
      <c r="E21" s="19"/>
    </row>
    <row r="22" spans="3:14" ht="15.6" customHeight="1">
      <c r="E22" s="19"/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</sheetData>
  <mergeCells count="14">
    <mergeCell ref="A1:O1"/>
    <mergeCell ref="A2:O2"/>
    <mergeCell ref="A3:C3"/>
    <mergeCell ref="D3:K3"/>
    <mergeCell ref="L3:O3"/>
    <mergeCell ref="O4:O5"/>
    <mergeCell ref="A10:C11"/>
    <mergeCell ref="K10:M11"/>
    <mergeCell ref="M12:N12"/>
    <mergeCell ref="A4:A5"/>
    <mergeCell ref="B4:B5"/>
    <mergeCell ref="C4:C5"/>
    <mergeCell ref="M4:M5"/>
    <mergeCell ref="N4:N5"/>
  </mergeCells>
  <conditionalFormatting sqref="D6:I8">
    <cfRule type="cellIs" dxfId="19" priority="2" operator="lessThan">
      <formula>40</formula>
    </cfRule>
  </conditionalFormatting>
  <conditionalFormatting sqref="D15:K15">
    <cfRule type="cellIs" dxfId="18" priority="3" operator="lessThan">
      <formula>0.5</formula>
    </cfRule>
  </conditionalFormatting>
  <conditionalFormatting sqref="J6:K8">
    <cfRule type="cellIs" dxfId="17" priority="1" operator="lessThan">
      <formula>20</formula>
    </cfRule>
  </conditionalFormatting>
  <conditionalFormatting sqref="M6:M8">
    <cfRule type="cellIs" dxfId="16" priority="6" operator="lessThan">
      <formula>80</formula>
    </cfRule>
    <cfRule type="cellIs" dxfId="15" priority="8" operator="lessThan">
      <formula>66</formula>
    </cfRule>
  </conditionalFormatting>
  <conditionalFormatting sqref="N6:N8">
    <cfRule type="cellIs" dxfId="14" priority="5" operator="lessThan">
      <formula>0.4</formula>
    </cfRule>
    <cfRule type="cellIs" dxfId="13" priority="7" operator="lessThan">
      <formula>0.33</formula>
    </cfRule>
  </conditionalFormatting>
  <printOptions horizontalCentered="1"/>
  <pageMargins left="0.2" right="0.2" top="0.25" bottom="0.25" header="0.3" footer="0.3"/>
  <pageSetup paperSize="9" scale="83" fitToHeight="0" orientation="landscape" horizontalDpi="4294967295" verticalDpi="4294967295" r:id="rId1"/>
  <rowBreaks count="1" manualBreakCount="1">
    <brk id="23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0"/>
  <sheetViews>
    <sheetView topLeftCell="A17" zoomScale="85" zoomScaleNormal="85" workbookViewId="0">
      <selection activeCell="S21" sqref="S21"/>
    </sheetView>
  </sheetViews>
  <sheetFormatPr defaultColWidth="8.6640625" defaultRowHeight="14.4"/>
  <cols>
    <col min="2" max="2" width="20.33203125" customWidth="1"/>
    <col min="3" max="3" width="8.88671875"/>
    <col min="5" max="5" width="12.6640625" customWidth="1"/>
    <col min="9" max="9" width="9.6640625" customWidth="1"/>
  </cols>
  <sheetData>
    <row r="1" spans="1:15" ht="27" customHeight="1">
      <c r="A1" s="197" t="s">
        <v>322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9"/>
    </row>
    <row r="2" spans="1:15" ht="22.2" customHeight="1">
      <c r="A2" s="200" t="s">
        <v>296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</row>
    <row r="3" spans="1:15" ht="19.95" customHeight="1">
      <c r="A3" s="203" t="s">
        <v>294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>
      <c r="A4" s="1"/>
      <c r="O4" s="25"/>
    </row>
    <row r="5" spans="1:15" ht="15.6">
      <c r="A5" s="194">
        <v>1</v>
      </c>
      <c r="B5" s="206" t="s">
        <v>293</v>
      </c>
      <c r="C5" s="207"/>
      <c r="E5" s="2" t="s">
        <v>45</v>
      </c>
      <c r="F5" s="3" t="s">
        <v>46</v>
      </c>
      <c r="G5" s="3" t="s">
        <v>7</v>
      </c>
      <c r="H5" s="3" t="s">
        <v>8</v>
      </c>
      <c r="I5" s="3" t="s">
        <v>264</v>
      </c>
      <c r="J5" s="3" t="s">
        <v>265</v>
      </c>
      <c r="K5" s="3" t="s">
        <v>266</v>
      </c>
      <c r="L5" s="26" t="s">
        <v>57</v>
      </c>
      <c r="M5" s="26" t="s">
        <v>58</v>
      </c>
      <c r="O5" s="25"/>
    </row>
    <row r="6" spans="1:15" ht="15">
      <c r="A6" s="195"/>
      <c r="B6" s="5" t="s">
        <v>43</v>
      </c>
      <c r="C6" s="6">
        <f>'Class X'!N13</f>
        <v>3</v>
      </c>
      <c r="E6" s="7" t="s">
        <v>48</v>
      </c>
      <c r="F6" s="8">
        <f>'Class X'!D14</f>
        <v>2</v>
      </c>
      <c r="G6" s="8">
        <f>'Class X'!E14</f>
        <v>3</v>
      </c>
      <c r="H6" s="8">
        <f>'Class X'!F14</f>
        <v>3</v>
      </c>
      <c r="I6" s="8">
        <f>'Class X'!G14</f>
        <v>3</v>
      </c>
      <c r="J6" s="8">
        <f>'Class X'!H14</f>
        <v>3</v>
      </c>
      <c r="K6" s="8">
        <f>'Class X'!I14</f>
        <v>3</v>
      </c>
      <c r="L6" s="8">
        <f>'Class X'!J14</f>
        <v>3</v>
      </c>
      <c r="M6" s="27">
        <f>'Class X'!K14</f>
        <v>3</v>
      </c>
      <c r="O6" s="25"/>
    </row>
    <row r="7" spans="1:15" ht="15">
      <c r="A7" s="195"/>
      <c r="B7" s="9" t="s">
        <v>44</v>
      </c>
      <c r="C7" s="6">
        <f>'Class X'!N14</f>
        <v>3</v>
      </c>
      <c r="E7" s="10" t="s">
        <v>262</v>
      </c>
      <c r="F7" s="11">
        <f>'Class X'!D15</f>
        <v>0.66666666666666663</v>
      </c>
      <c r="G7" s="11">
        <f>'Class X'!E15</f>
        <v>1</v>
      </c>
      <c r="H7" s="11">
        <f>'Class X'!F15</f>
        <v>1</v>
      </c>
      <c r="I7" s="11">
        <f>'Class X'!G15</f>
        <v>1</v>
      </c>
      <c r="J7" s="11">
        <f>'Class X'!H15</f>
        <v>1</v>
      </c>
      <c r="K7" s="11">
        <f>'Class X'!I15</f>
        <v>1</v>
      </c>
      <c r="L7" s="11">
        <f>'Class X'!J15</f>
        <v>1</v>
      </c>
      <c r="M7" s="28">
        <f>'Class X'!K15</f>
        <v>1</v>
      </c>
      <c r="O7" s="25"/>
    </row>
    <row r="8" spans="1:15" ht="15">
      <c r="A8" s="195"/>
      <c r="B8" s="9" t="s">
        <v>47</v>
      </c>
      <c r="C8" s="6">
        <f>'Class X'!N15</f>
        <v>3</v>
      </c>
      <c r="E8" s="10" t="s">
        <v>52</v>
      </c>
      <c r="F8" s="12">
        <f>'Class X'!D16</f>
        <v>1</v>
      </c>
      <c r="G8" s="12">
        <f>'Class X'!E16</f>
        <v>0</v>
      </c>
      <c r="H8" s="12">
        <f>'Class X'!F16</f>
        <v>0</v>
      </c>
      <c r="I8" s="12">
        <f>'Class X'!G16</f>
        <v>0</v>
      </c>
      <c r="J8" s="12">
        <f>'Class X'!H16</f>
        <v>0</v>
      </c>
      <c r="K8" s="12">
        <f>'Class X'!I16</f>
        <v>0</v>
      </c>
      <c r="L8" s="12">
        <f>'Class X'!J16</f>
        <v>0</v>
      </c>
      <c r="M8" s="29">
        <f>'Class X'!K16</f>
        <v>0</v>
      </c>
      <c r="O8" s="25"/>
    </row>
    <row r="9" spans="1:15" ht="15">
      <c r="A9" s="195"/>
      <c r="B9" s="9" t="s">
        <v>49</v>
      </c>
      <c r="C9" s="13">
        <f>C8/C7</f>
        <v>1</v>
      </c>
      <c r="E9" s="14" t="s">
        <v>54</v>
      </c>
      <c r="F9" s="15">
        <f t="shared" ref="F9:M9" si="0">100%-F7</f>
        <v>0.33333333333333337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30">
        <f t="shared" si="0"/>
        <v>0</v>
      </c>
      <c r="O9" s="25"/>
    </row>
    <row r="10" spans="1:15" ht="15">
      <c r="A10" s="195"/>
      <c r="B10" s="9" t="s">
        <v>51</v>
      </c>
      <c r="C10" s="6">
        <f>C7-C8</f>
        <v>0</v>
      </c>
      <c r="O10" s="25"/>
    </row>
    <row r="11" spans="1:15" ht="15">
      <c r="A11" s="196"/>
      <c r="B11" s="16" t="s">
        <v>53</v>
      </c>
      <c r="C11" s="17">
        <f>C10/C7</f>
        <v>0</v>
      </c>
      <c r="D11" s="18"/>
      <c r="E11" s="18"/>
      <c r="F11" s="18"/>
      <c r="G11" s="18"/>
      <c r="H11" s="18"/>
      <c r="I11" s="31"/>
      <c r="J11" s="18"/>
      <c r="O11" s="25"/>
    </row>
    <row r="12" spans="1:15" ht="18">
      <c r="A12" s="194">
        <v>2</v>
      </c>
      <c r="B12" s="147" t="s">
        <v>285</v>
      </c>
      <c r="C12" s="148"/>
      <c r="D12" s="19"/>
      <c r="E12" s="2" t="s">
        <v>45</v>
      </c>
      <c r="F12" s="3" t="s">
        <v>46</v>
      </c>
      <c r="G12" s="3" t="s">
        <v>7</v>
      </c>
      <c r="H12" s="3" t="s">
        <v>8</v>
      </c>
      <c r="I12" s="3" t="s">
        <v>264</v>
      </c>
      <c r="J12" s="3" t="s">
        <v>265</v>
      </c>
      <c r="K12" s="3" t="s">
        <v>266</v>
      </c>
      <c r="L12" s="26" t="s">
        <v>57</v>
      </c>
      <c r="M12" s="26" t="s">
        <v>58</v>
      </c>
      <c r="O12" s="25"/>
    </row>
    <row r="13" spans="1:15" ht="18">
      <c r="A13" s="195"/>
      <c r="B13" s="5" t="s">
        <v>43</v>
      </c>
      <c r="C13" s="20">
        <f>'Class IX'!N18</f>
        <v>7</v>
      </c>
      <c r="D13" s="19"/>
      <c r="E13" s="7" t="s">
        <v>48</v>
      </c>
      <c r="F13" s="8">
        <f>'Class IX'!D19</f>
        <v>7</v>
      </c>
      <c r="G13" s="8">
        <f>'Class IX'!E19</f>
        <v>6</v>
      </c>
      <c r="H13" s="8">
        <f>'Class IX'!F19</f>
        <v>7</v>
      </c>
      <c r="I13" s="8">
        <f>'Class IX'!G19</f>
        <v>7</v>
      </c>
      <c r="J13" s="8">
        <f>'Class IX'!H19</f>
        <v>7</v>
      </c>
      <c r="K13" s="8">
        <f>'Class IX'!I19</f>
        <v>7</v>
      </c>
      <c r="L13" s="8">
        <f>'Class IX'!J19</f>
        <v>7</v>
      </c>
      <c r="M13" s="27">
        <f>'Class IX'!K19</f>
        <v>7</v>
      </c>
      <c r="O13" s="25"/>
    </row>
    <row r="14" spans="1:15" ht="18">
      <c r="A14" s="195"/>
      <c r="B14" s="5" t="s">
        <v>44</v>
      </c>
      <c r="C14" s="20">
        <f>'Class IX'!N19</f>
        <v>7</v>
      </c>
      <c r="D14" s="19"/>
      <c r="E14" s="10" t="s">
        <v>262</v>
      </c>
      <c r="F14" s="11">
        <f>'Class IX'!D20</f>
        <v>1</v>
      </c>
      <c r="G14" s="11">
        <f>'Class IX'!E20</f>
        <v>0.8571428571428571</v>
      </c>
      <c r="H14" s="11">
        <f>'Class IX'!F20</f>
        <v>1</v>
      </c>
      <c r="I14" s="11">
        <f>'Class IX'!G20</f>
        <v>1</v>
      </c>
      <c r="J14" s="11">
        <f>'Class IX'!H20</f>
        <v>1</v>
      </c>
      <c r="K14" s="11">
        <f>'Class IX'!I20</f>
        <v>1</v>
      </c>
      <c r="L14" s="11">
        <f>'Class IX'!J20</f>
        <v>1</v>
      </c>
      <c r="M14" s="28">
        <f>'Class IX'!K20</f>
        <v>1</v>
      </c>
      <c r="O14" s="25"/>
    </row>
    <row r="15" spans="1:15" ht="18">
      <c r="A15" s="195"/>
      <c r="B15" s="5" t="s">
        <v>47</v>
      </c>
      <c r="C15" s="20">
        <f>'Class IX'!N20</f>
        <v>7</v>
      </c>
      <c r="D15" s="19"/>
      <c r="E15" s="10" t="s">
        <v>52</v>
      </c>
      <c r="F15" s="12">
        <f>'Class IX'!D21</f>
        <v>0</v>
      </c>
      <c r="G15" s="12">
        <f>'Class IX'!E21</f>
        <v>1</v>
      </c>
      <c r="H15" s="12">
        <f>'Class IX'!F21</f>
        <v>0</v>
      </c>
      <c r="I15" s="12">
        <f>'Class IX'!G21</f>
        <v>0</v>
      </c>
      <c r="J15" s="12">
        <f>'Class IX'!H21</f>
        <v>0</v>
      </c>
      <c r="K15" s="12">
        <f>'Class IX'!I21</f>
        <v>0</v>
      </c>
      <c r="L15" s="12">
        <f>'Class IX'!J21</f>
        <v>0</v>
      </c>
      <c r="M15" s="29">
        <f>'Class IX'!K21</f>
        <v>0</v>
      </c>
      <c r="O15" s="25"/>
    </row>
    <row r="16" spans="1:15" ht="18">
      <c r="A16" s="195"/>
      <c r="B16" s="5" t="s">
        <v>49</v>
      </c>
      <c r="C16" s="21">
        <f>C15/C14</f>
        <v>1</v>
      </c>
      <c r="D16" s="19"/>
      <c r="E16" s="14" t="s">
        <v>54</v>
      </c>
      <c r="F16" s="15">
        <f t="shared" ref="F16:M16" si="1">100%-F14</f>
        <v>0</v>
      </c>
      <c r="G16" s="15">
        <f t="shared" si="1"/>
        <v>0.1428571428571429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30">
        <f t="shared" si="1"/>
        <v>0</v>
      </c>
      <c r="O16" s="25"/>
    </row>
    <row r="17" spans="1:15" ht="18">
      <c r="A17" s="195"/>
      <c r="B17" s="5" t="s">
        <v>51</v>
      </c>
      <c r="C17" s="20">
        <f>C14-C15</f>
        <v>0</v>
      </c>
      <c r="D17" s="19"/>
      <c r="O17" s="25"/>
    </row>
    <row r="18" spans="1:15" ht="18">
      <c r="A18" s="196"/>
      <c r="B18" s="5" t="s">
        <v>53</v>
      </c>
      <c r="C18" s="22">
        <f>C17/C14</f>
        <v>0</v>
      </c>
      <c r="D18" s="19"/>
      <c r="O18" s="25"/>
    </row>
    <row r="19" spans="1:15" ht="18">
      <c r="A19" s="194">
        <v>3</v>
      </c>
      <c r="B19" s="147" t="s">
        <v>261</v>
      </c>
      <c r="C19" s="148"/>
      <c r="E19" s="2" t="s">
        <v>45</v>
      </c>
      <c r="F19" s="3" t="s">
        <v>46</v>
      </c>
      <c r="G19" s="3" t="s">
        <v>7</v>
      </c>
      <c r="H19" s="3" t="s">
        <v>166</v>
      </c>
      <c r="I19" s="3" t="s">
        <v>8</v>
      </c>
      <c r="J19" s="3" t="s">
        <v>57</v>
      </c>
      <c r="K19" s="3" t="s">
        <v>199</v>
      </c>
      <c r="L19" s="26" t="s">
        <v>85</v>
      </c>
      <c r="M19" s="26" t="s">
        <v>59</v>
      </c>
      <c r="O19" s="25"/>
    </row>
    <row r="20" spans="1:15" ht="18">
      <c r="A20" s="195"/>
      <c r="B20" s="5" t="s">
        <v>43</v>
      </c>
      <c r="C20" s="20">
        <f>'Class VIII'!N30</f>
        <v>19</v>
      </c>
      <c r="E20" s="7" t="s">
        <v>48</v>
      </c>
      <c r="F20" s="8">
        <f>'Class VIII'!D30</f>
        <v>16</v>
      </c>
      <c r="G20" s="8">
        <f>'Class VIII'!E30</f>
        <v>18</v>
      </c>
      <c r="H20" s="8">
        <f>'Class VIII'!F30</f>
        <v>19</v>
      </c>
      <c r="I20" s="8">
        <f>'Class VIII'!G30</f>
        <v>19</v>
      </c>
      <c r="J20" s="8">
        <f>'Class VIII'!H30</f>
        <v>18</v>
      </c>
      <c r="K20" s="8">
        <f>'Class VIII'!I30</f>
        <v>18</v>
      </c>
      <c r="L20" s="8">
        <f>'Class VIII'!J30</f>
        <v>19</v>
      </c>
      <c r="M20" s="27">
        <f>'Class VIII'!K30</f>
        <v>19</v>
      </c>
      <c r="O20" s="25"/>
    </row>
    <row r="21" spans="1:15" ht="18">
      <c r="A21" s="195"/>
      <c r="B21" s="5" t="s">
        <v>44</v>
      </c>
      <c r="C21" s="20">
        <f>'Class VIII'!N31</f>
        <v>19</v>
      </c>
      <c r="E21" s="10" t="s">
        <v>262</v>
      </c>
      <c r="F21" s="11">
        <f>'Class VIII'!D31</f>
        <v>0.84210526315789469</v>
      </c>
      <c r="G21" s="11">
        <f>'Class VIII'!E31</f>
        <v>0.94736842105263153</v>
      </c>
      <c r="H21" s="11">
        <f>'Class VIII'!F31</f>
        <v>1</v>
      </c>
      <c r="I21" s="11">
        <f>'Class VIII'!G31</f>
        <v>1</v>
      </c>
      <c r="J21" s="11">
        <f>'Class VIII'!H31</f>
        <v>0.94736842105263153</v>
      </c>
      <c r="K21" s="11">
        <f>'Class VIII'!I31</f>
        <v>0.94736842105263153</v>
      </c>
      <c r="L21" s="11">
        <f>'Class VIII'!J31</f>
        <v>1</v>
      </c>
      <c r="M21" s="28">
        <f>'Class VIII'!K31</f>
        <v>1</v>
      </c>
      <c r="O21" s="25"/>
    </row>
    <row r="22" spans="1:15" ht="18">
      <c r="A22" s="195"/>
      <c r="B22" s="5" t="s">
        <v>47</v>
      </c>
      <c r="C22" s="20">
        <f>'Class VIII'!N32</f>
        <v>18</v>
      </c>
      <c r="E22" s="10" t="s">
        <v>52</v>
      </c>
      <c r="F22" s="12">
        <f>'Class VIII'!D32</f>
        <v>3</v>
      </c>
      <c r="G22" s="12">
        <f>'Class VIII'!E32</f>
        <v>1</v>
      </c>
      <c r="H22" s="12">
        <f>'Class VIII'!F32</f>
        <v>0</v>
      </c>
      <c r="I22" s="12">
        <f>'Class VIII'!G32</f>
        <v>0</v>
      </c>
      <c r="J22" s="12">
        <f>'Class VIII'!H32</f>
        <v>1</v>
      </c>
      <c r="K22" s="12">
        <f>'Class VIII'!I32</f>
        <v>1</v>
      </c>
      <c r="L22" s="12">
        <f>'Class VIII'!J32</f>
        <v>0</v>
      </c>
      <c r="M22" s="29">
        <f>'Class VIII'!K32</f>
        <v>0</v>
      </c>
      <c r="O22" s="25"/>
    </row>
    <row r="23" spans="1:15" ht="18">
      <c r="A23" s="195"/>
      <c r="B23" s="5" t="s">
        <v>49</v>
      </c>
      <c r="C23" s="21">
        <f>C22/C21</f>
        <v>0.94736842105263153</v>
      </c>
      <c r="E23" s="14" t="s">
        <v>54</v>
      </c>
      <c r="F23" s="15">
        <f>100%-F21</f>
        <v>0.15789473684210531</v>
      </c>
      <c r="G23" s="15">
        <f t="shared" ref="G23:M23" si="2">100%-G21</f>
        <v>5.2631578947368474E-2</v>
      </c>
      <c r="H23" s="15">
        <f t="shared" si="2"/>
        <v>0</v>
      </c>
      <c r="I23" s="15">
        <f t="shared" si="2"/>
        <v>0</v>
      </c>
      <c r="J23" s="15">
        <f t="shared" si="2"/>
        <v>5.2631578947368474E-2</v>
      </c>
      <c r="K23" s="15">
        <f t="shared" si="2"/>
        <v>5.2631578947368474E-2</v>
      </c>
      <c r="L23" s="15">
        <f t="shared" si="2"/>
        <v>0</v>
      </c>
      <c r="M23" s="30">
        <f t="shared" si="2"/>
        <v>0</v>
      </c>
      <c r="O23" s="25"/>
    </row>
    <row r="24" spans="1:15" ht="18">
      <c r="A24" s="195"/>
      <c r="B24" s="5" t="s">
        <v>51</v>
      </c>
      <c r="C24" s="20">
        <f>C21-C22</f>
        <v>1</v>
      </c>
      <c r="O24" s="25"/>
    </row>
    <row r="25" spans="1:15" ht="18">
      <c r="A25" s="196"/>
      <c r="B25" s="5" t="s">
        <v>53</v>
      </c>
      <c r="C25" s="22">
        <f>C24/C21</f>
        <v>5.2631578947368418E-2</v>
      </c>
      <c r="O25" s="25"/>
    </row>
    <row r="26" spans="1:15" ht="18">
      <c r="A26" s="194">
        <v>4</v>
      </c>
      <c r="B26" s="147" t="s">
        <v>295</v>
      </c>
      <c r="C26" s="148"/>
      <c r="E26" s="2" t="s">
        <v>45</v>
      </c>
      <c r="F26" s="3" t="s">
        <v>46</v>
      </c>
      <c r="G26" s="3" t="s">
        <v>7</v>
      </c>
      <c r="H26" s="3" t="s">
        <v>166</v>
      </c>
      <c r="I26" s="3" t="s">
        <v>8</v>
      </c>
      <c r="J26" s="3" t="s">
        <v>57</v>
      </c>
      <c r="K26" s="3" t="s">
        <v>199</v>
      </c>
      <c r="L26" s="26" t="s">
        <v>85</v>
      </c>
      <c r="M26" s="26" t="s">
        <v>59</v>
      </c>
      <c r="O26" s="25"/>
    </row>
    <row r="27" spans="1:15" ht="18">
      <c r="A27" s="195"/>
      <c r="B27" s="5" t="s">
        <v>43</v>
      </c>
      <c r="C27" s="20">
        <f>'Class VII'!N17</f>
        <v>7</v>
      </c>
      <c r="E27" s="7" t="s">
        <v>48</v>
      </c>
      <c r="F27" s="8">
        <f>'Class VII'!D17</f>
        <v>6</v>
      </c>
      <c r="G27" s="8">
        <f>'Class VII'!E17</f>
        <v>6</v>
      </c>
      <c r="H27" s="8">
        <f>'Class VII'!F17</f>
        <v>6</v>
      </c>
      <c r="I27" s="8">
        <f>'Class VII'!G17</f>
        <v>5</v>
      </c>
      <c r="J27" s="8">
        <f>'Class VII'!H17</f>
        <v>6</v>
      </c>
      <c r="K27" s="8">
        <f>'Class VII'!I17</f>
        <v>6</v>
      </c>
      <c r="L27" s="8">
        <f>'Class VII'!J17</f>
        <v>6</v>
      </c>
      <c r="M27" s="27">
        <f>'Class VII'!K17</f>
        <v>5</v>
      </c>
      <c r="O27" s="25"/>
    </row>
    <row r="28" spans="1:15" ht="18">
      <c r="A28" s="195"/>
      <c r="B28" s="5" t="s">
        <v>44</v>
      </c>
      <c r="C28" s="20">
        <f>'Class VII'!N18</f>
        <v>6</v>
      </c>
      <c r="E28" s="10" t="s">
        <v>50</v>
      </c>
      <c r="F28" s="11">
        <f>'Class VII'!D18</f>
        <v>1</v>
      </c>
      <c r="G28" s="11">
        <f>'Class VII'!E18</f>
        <v>1</v>
      </c>
      <c r="H28" s="11">
        <f>'Class VII'!F18</f>
        <v>1</v>
      </c>
      <c r="I28" s="11">
        <f>'Class VII'!G18</f>
        <v>0.83333333333333337</v>
      </c>
      <c r="J28" s="11">
        <f>'Class VII'!H18</f>
        <v>1</v>
      </c>
      <c r="K28" s="11">
        <f>'Class VII'!I18</f>
        <v>1</v>
      </c>
      <c r="L28" s="11">
        <f>'Class VII'!J18</f>
        <v>1</v>
      </c>
      <c r="M28" s="28">
        <f>'Class VII'!K18</f>
        <v>0.83333333333333337</v>
      </c>
      <c r="O28" s="25"/>
    </row>
    <row r="29" spans="1:15" ht="18">
      <c r="A29" s="195"/>
      <c r="B29" s="5" t="s">
        <v>47</v>
      </c>
      <c r="C29" s="20">
        <f>'Class VII'!N19</f>
        <v>6</v>
      </c>
      <c r="E29" s="10" t="s">
        <v>52</v>
      </c>
      <c r="F29" s="12">
        <f>'Class VII'!D19</f>
        <v>0</v>
      </c>
      <c r="G29" s="12">
        <f>'Class VII'!E19</f>
        <v>0</v>
      </c>
      <c r="H29" s="12">
        <f>'Class VII'!F19</f>
        <v>0</v>
      </c>
      <c r="I29" s="12">
        <f>'Class VII'!G19</f>
        <v>1</v>
      </c>
      <c r="J29" s="12">
        <f>'Class VII'!H19</f>
        <v>0</v>
      </c>
      <c r="K29" s="12">
        <f>'Class VII'!I19</f>
        <v>0</v>
      </c>
      <c r="L29" s="12">
        <f>'Class VII'!J19</f>
        <v>0</v>
      </c>
      <c r="M29" s="29">
        <f>'Class VII'!K19</f>
        <v>1</v>
      </c>
      <c r="O29" s="25"/>
    </row>
    <row r="30" spans="1:15" ht="18">
      <c r="A30" s="195"/>
      <c r="B30" s="5" t="s">
        <v>49</v>
      </c>
      <c r="C30" s="21">
        <f>C29/C28</f>
        <v>1</v>
      </c>
      <c r="E30" s="14" t="s">
        <v>54</v>
      </c>
      <c r="F30" s="15">
        <f>100%-F28</f>
        <v>0</v>
      </c>
      <c r="G30" s="15">
        <f t="shared" ref="G30:M30" si="3">100%-G28</f>
        <v>0</v>
      </c>
      <c r="H30" s="15">
        <f t="shared" si="3"/>
        <v>0</v>
      </c>
      <c r="I30" s="15">
        <f t="shared" si="3"/>
        <v>0.16666666666666663</v>
      </c>
      <c r="J30" s="15">
        <f t="shared" si="3"/>
        <v>0</v>
      </c>
      <c r="K30" s="15">
        <f t="shared" si="3"/>
        <v>0</v>
      </c>
      <c r="L30" s="15">
        <f t="shared" si="3"/>
        <v>0</v>
      </c>
      <c r="M30" s="30">
        <f t="shared" si="3"/>
        <v>0.16666666666666663</v>
      </c>
      <c r="O30" s="25"/>
    </row>
    <row r="31" spans="1:15" ht="18">
      <c r="A31" s="195"/>
      <c r="B31" s="5" t="s">
        <v>51</v>
      </c>
      <c r="C31" s="20">
        <f>C28-C29</f>
        <v>0</v>
      </c>
      <c r="O31" s="25"/>
    </row>
    <row r="32" spans="1:15" ht="18">
      <c r="A32" s="196"/>
      <c r="B32" s="5" t="s">
        <v>53</v>
      </c>
      <c r="C32" s="22">
        <f>C31/C28</f>
        <v>0</v>
      </c>
      <c r="O32" s="25"/>
    </row>
    <row r="33" spans="1:15" ht="18">
      <c r="A33" s="4"/>
      <c r="B33" s="147" t="s">
        <v>218</v>
      </c>
      <c r="C33" s="148"/>
      <c r="E33" s="2" t="s">
        <v>45</v>
      </c>
      <c r="F33" s="3" t="s">
        <v>46</v>
      </c>
      <c r="G33" s="3" t="s">
        <v>7</v>
      </c>
      <c r="H33" s="3" t="s">
        <v>166</v>
      </c>
      <c r="I33" s="3" t="s">
        <v>8</v>
      </c>
      <c r="J33" s="3" t="s">
        <v>57</v>
      </c>
      <c r="K33" s="3" t="s">
        <v>199</v>
      </c>
      <c r="L33" s="26" t="s">
        <v>85</v>
      </c>
      <c r="M33" s="26" t="s">
        <v>59</v>
      </c>
      <c r="O33" s="25"/>
    </row>
    <row r="34" spans="1:15" ht="18">
      <c r="A34" s="4"/>
      <c r="B34" s="5" t="s">
        <v>43</v>
      </c>
      <c r="C34" s="20">
        <f>'Class VI'!N19</f>
        <v>9</v>
      </c>
      <c r="E34" s="7" t="s">
        <v>48</v>
      </c>
      <c r="F34" s="8">
        <f>'Class VI'!D19</f>
        <v>6</v>
      </c>
      <c r="G34" s="8">
        <f>'Class VI'!E19</f>
        <v>9</v>
      </c>
      <c r="H34" s="8">
        <f>'Class VI'!F19</f>
        <v>8</v>
      </c>
      <c r="I34" s="8">
        <f>'Class VI'!G19</f>
        <v>6</v>
      </c>
      <c r="J34" s="8">
        <f>'Class VI'!H19</f>
        <v>9</v>
      </c>
      <c r="K34" s="8">
        <f>'Class VI'!I19</f>
        <v>7</v>
      </c>
      <c r="L34" s="8">
        <f>'Class VI'!J19</f>
        <v>9</v>
      </c>
      <c r="M34" s="27">
        <f>'Class VI'!K19</f>
        <v>8</v>
      </c>
      <c r="O34" s="25"/>
    </row>
    <row r="35" spans="1:15" ht="18">
      <c r="A35" s="4"/>
      <c r="B35" s="5" t="s">
        <v>44</v>
      </c>
      <c r="C35" s="20">
        <f>'Class VI'!N20</f>
        <v>9</v>
      </c>
      <c r="E35" s="10" t="s">
        <v>50</v>
      </c>
      <c r="F35" s="11">
        <f>'Class VI'!D20</f>
        <v>0.66666666666666663</v>
      </c>
      <c r="G35" s="11">
        <f>'Class VI'!E20</f>
        <v>1</v>
      </c>
      <c r="H35" s="11">
        <f>'Class VI'!F20</f>
        <v>0.88888888888888884</v>
      </c>
      <c r="I35" s="11">
        <f>'Class VI'!G20</f>
        <v>0.66666666666666663</v>
      </c>
      <c r="J35" s="11">
        <f>'Class VI'!H20</f>
        <v>1</v>
      </c>
      <c r="K35" s="11">
        <f>'Class VI'!I20</f>
        <v>0.77777777777777779</v>
      </c>
      <c r="L35" s="11">
        <f>'Class VI'!J20</f>
        <v>1</v>
      </c>
      <c r="M35" s="28">
        <f>'Class VI'!K20</f>
        <v>0.88888888888888884</v>
      </c>
      <c r="O35" s="25"/>
    </row>
    <row r="36" spans="1:15" ht="18">
      <c r="A36" s="4"/>
      <c r="B36" s="5" t="s">
        <v>47</v>
      </c>
      <c r="C36" s="20">
        <f>'Class VI'!N21</f>
        <v>8</v>
      </c>
      <c r="E36" s="10" t="s">
        <v>52</v>
      </c>
      <c r="F36" s="12">
        <f>'Class VI'!D21</f>
        <v>3</v>
      </c>
      <c r="G36" s="12">
        <f>'Class VI'!E21</f>
        <v>0</v>
      </c>
      <c r="H36" s="12">
        <f>'Class VI'!F21</f>
        <v>1</v>
      </c>
      <c r="I36" s="12">
        <f>'Class VI'!G21</f>
        <v>3</v>
      </c>
      <c r="J36" s="12">
        <f>'Class VI'!H21</f>
        <v>0</v>
      </c>
      <c r="K36" s="12">
        <f>'Class VI'!I21</f>
        <v>2</v>
      </c>
      <c r="L36" s="12">
        <f>'Class VI'!J21</f>
        <v>0</v>
      </c>
      <c r="M36" s="29">
        <f>'Class VI'!K21</f>
        <v>1</v>
      </c>
      <c r="O36" s="25"/>
    </row>
    <row r="37" spans="1:15" ht="18">
      <c r="A37" s="4"/>
      <c r="B37" s="5" t="s">
        <v>49</v>
      </c>
      <c r="C37" s="21">
        <f>C36/C35</f>
        <v>0.88888888888888884</v>
      </c>
      <c r="E37" s="14" t="s">
        <v>54</v>
      </c>
      <c r="F37" s="15">
        <f>100%-F35</f>
        <v>0.33333333333333337</v>
      </c>
      <c r="G37" s="15">
        <f t="shared" ref="G37:M37" si="4">100%-G35</f>
        <v>0</v>
      </c>
      <c r="H37" s="15">
        <f t="shared" si="4"/>
        <v>0.11111111111111116</v>
      </c>
      <c r="I37" s="15">
        <f t="shared" si="4"/>
        <v>0.33333333333333337</v>
      </c>
      <c r="J37" s="15">
        <f t="shared" si="4"/>
        <v>0</v>
      </c>
      <c r="K37" s="15">
        <f t="shared" si="4"/>
        <v>0.22222222222222221</v>
      </c>
      <c r="L37" s="15">
        <f t="shared" si="4"/>
        <v>0</v>
      </c>
      <c r="M37" s="30">
        <f t="shared" si="4"/>
        <v>0.11111111111111116</v>
      </c>
      <c r="O37" s="25"/>
    </row>
    <row r="38" spans="1:15" ht="18">
      <c r="A38" s="4"/>
      <c r="B38" s="5" t="s">
        <v>51</v>
      </c>
      <c r="C38" s="20">
        <f>C35-C36</f>
        <v>1</v>
      </c>
      <c r="O38" s="25"/>
    </row>
    <row r="39" spans="1:15" ht="18">
      <c r="A39" s="4"/>
      <c r="B39" s="5" t="s">
        <v>53</v>
      </c>
      <c r="C39" s="22">
        <f>C38/C35</f>
        <v>0.1111111111111111</v>
      </c>
      <c r="O39" s="25"/>
    </row>
    <row r="40" spans="1:15" ht="18">
      <c r="A40" s="194">
        <v>5</v>
      </c>
      <c r="B40" s="183" t="s">
        <v>321</v>
      </c>
      <c r="C40" s="148"/>
      <c r="E40" s="2" t="s">
        <v>45</v>
      </c>
      <c r="F40" s="3" t="s">
        <v>46</v>
      </c>
      <c r="G40" s="3" t="s">
        <v>7</v>
      </c>
      <c r="H40" s="3" t="s">
        <v>166</v>
      </c>
      <c r="I40" s="3" t="s">
        <v>8</v>
      </c>
      <c r="J40" s="3" t="s">
        <v>57</v>
      </c>
      <c r="K40" s="3" t="s">
        <v>199</v>
      </c>
      <c r="L40" s="26" t="s">
        <v>85</v>
      </c>
      <c r="M40" s="26" t="s">
        <v>59</v>
      </c>
      <c r="O40" s="25"/>
    </row>
    <row r="41" spans="1:15" ht="18">
      <c r="A41" s="195"/>
      <c r="B41" s="5" t="s">
        <v>43</v>
      </c>
      <c r="C41" s="20">
        <f>'Class V'!N36</f>
        <v>26</v>
      </c>
      <c r="E41" s="7" t="s">
        <v>48</v>
      </c>
      <c r="F41" s="8">
        <f>'Class V'!D37</f>
        <v>13</v>
      </c>
      <c r="G41" s="8">
        <f>'Class V'!E37</f>
        <v>18</v>
      </c>
      <c r="H41" s="8">
        <f>'Class V'!F37</f>
        <v>17</v>
      </c>
      <c r="I41" s="8">
        <f>'Class V'!G37</f>
        <v>13</v>
      </c>
      <c r="J41" s="8">
        <f>'Class V'!H37</f>
        <v>23</v>
      </c>
      <c r="K41" s="8">
        <f>'Class V'!I37</f>
        <v>22</v>
      </c>
      <c r="L41" s="8">
        <f>'Class V'!J37</f>
        <v>22</v>
      </c>
      <c r="M41" s="27">
        <f>'Class V'!K37</f>
        <v>17</v>
      </c>
      <c r="O41" s="25"/>
    </row>
    <row r="42" spans="1:15" ht="18">
      <c r="A42" s="195"/>
      <c r="B42" s="5" t="s">
        <v>44</v>
      </c>
      <c r="C42" s="20">
        <f>'Class V'!N37</f>
        <v>23</v>
      </c>
      <c r="E42" s="10" t="s">
        <v>50</v>
      </c>
      <c r="F42" s="11">
        <f>'Class V'!D38</f>
        <v>0.56521739130434778</v>
      </c>
      <c r="G42" s="11">
        <f>'Class V'!E38</f>
        <v>0.78260869565217395</v>
      </c>
      <c r="H42" s="11">
        <f>'Class V'!F38</f>
        <v>0.73913043478260865</v>
      </c>
      <c r="I42" s="11">
        <f>'Class V'!G38</f>
        <v>0.56521739130434778</v>
      </c>
      <c r="J42" s="11">
        <f>'Class V'!H38</f>
        <v>1</v>
      </c>
      <c r="K42" s="11">
        <f>'Class V'!I38</f>
        <v>0.95652173913043481</v>
      </c>
      <c r="L42" s="11">
        <f>'Class V'!J38</f>
        <v>0.95652173913043481</v>
      </c>
      <c r="M42" s="28">
        <f>'Class V'!K38</f>
        <v>0.73913043478260865</v>
      </c>
      <c r="O42" s="25"/>
    </row>
    <row r="43" spans="1:15" ht="18">
      <c r="A43" s="195"/>
      <c r="B43" s="5" t="s">
        <v>47</v>
      </c>
      <c r="C43" s="20">
        <f>'Class V'!N38</f>
        <v>15</v>
      </c>
      <c r="E43" s="10" t="s">
        <v>52</v>
      </c>
      <c r="F43" s="12">
        <f>'Class V'!D39</f>
        <v>10</v>
      </c>
      <c r="G43" s="12">
        <f>'Class V'!E39</f>
        <v>5</v>
      </c>
      <c r="H43" s="12">
        <f>'Class V'!F39</f>
        <v>6</v>
      </c>
      <c r="I43" s="12">
        <f>'Class V'!G39</f>
        <v>10</v>
      </c>
      <c r="J43" s="12">
        <f>'Class V'!H39</f>
        <v>0</v>
      </c>
      <c r="K43" s="12">
        <f>'Class V'!I39</f>
        <v>1</v>
      </c>
      <c r="L43" s="12">
        <f>'Class V'!J39</f>
        <v>1</v>
      </c>
      <c r="M43" s="29">
        <f>'Class V'!K39</f>
        <v>6</v>
      </c>
      <c r="O43" s="25"/>
    </row>
    <row r="44" spans="1:15" ht="18">
      <c r="A44" s="195"/>
      <c r="B44" s="5" t="s">
        <v>49</v>
      </c>
      <c r="C44" s="21">
        <f>C43/C42</f>
        <v>0.65217391304347827</v>
      </c>
      <c r="E44" s="14" t="s">
        <v>54</v>
      </c>
      <c r="F44" s="15">
        <f t="shared" ref="F44:M44" si="5">100%-F42</f>
        <v>0.43478260869565222</v>
      </c>
      <c r="G44" s="15">
        <f t="shared" si="5"/>
        <v>0.21739130434782605</v>
      </c>
      <c r="H44" s="15">
        <f t="shared" si="5"/>
        <v>0.26086956521739135</v>
      </c>
      <c r="I44" s="15">
        <f t="shared" si="5"/>
        <v>0.43478260869565222</v>
      </c>
      <c r="J44" s="15">
        <f t="shared" si="5"/>
        <v>0</v>
      </c>
      <c r="K44" s="15">
        <f t="shared" si="5"/>
        <v>4.3478260869565188E-2</v>
      </c>
      <c r="L44" s="15">
        <f t="shared" si="5"/>
        <v>4.3478260869565188E-2</v>
      </c>
      <c r="M44" s="30">
        <f t="shared" si="5"/>
        <v>0.26086956521739135</v>
      </c>
      <c r="O44" s="25"/>
    </row>
    <row r="45" spans="1:15" ht="18.600000000000001" thickBot="1">
      <c r="A45" s="195"/>
      <c r="B45" s="5" t="s">
        <v>51</v>
      </c>
      <c r="C45" s="20">
        <f>C42-C43</f>
        <v>8</v>
      </c>
      <c r="O45" s="25"/>
    </row>
    <row r="46" spans="1:15" ht="18.600000000000001" thickBot="1">
      <c r="A46" s="196"/>
      <c r="B46" s="5" t="s">
        <v>53</v>
      </c>
      <c r="C46" s="22">
        <f>C45/C42</f>
        <v>0.34782608695652173</v>
      </c>
      <c r="E46" s="142"/>
      <c r="F46" s="143"/>
      <c r="G46" s="143"/>
      <c r="H46" s="143"/>
      <c r="I46" s="143"/>
      <c r="J46" s="143"/>
      <c r="K46" s="143"/>
      <c r="L46" s="143"/>
      <c r="M46" s="144"/>
      <c r="O46" s="25"/>
    </row>
    <row r="47" spans="1:15" ht="18.600000000000001" thickBot="1">
      <c r="A47" s="194">
        <v>6</v>
      </c>
      <c r="B47" s="147" t="s">
        <v>338</v>
      </c>
      <c r="C47" s="148"/>
      <c r="E47" s="2" t="s">
        <v>45</v>
      </c>
      <c r="F47" s="3" t="s">
        <v>46</v>
      </c>
      <c r="G47" s="3" t="s">
        <v>7</v>
      </c>
      <c r="H47" s="3" t="s">
        <v>166</v>
      </c>
      <c r="I47" s="3" t="s">
        <v>8</v>
      </c>
      <c r="J47" s="3" t="s">
        <v>57</v>
      </c>
      <c r="K47" s="3" t="s">
        <v>199</v>
      </c>
      <c r="L47" s="26" t="s">
        <v>85</v>
      </c>
      <c r="M47" s="26" t="s">
        <v>59</v>
      </c>
      <c r="O47" s="25"/>
    </row>
    <row r="48" spans="1:15" ht="18.600000000000001" thickBot="1">
      <c r="A48" s="195"/>
      <c r="B48" s="5" t="s">
        <v>43</v>
      </c>
      <c r="C48" s="20">
        <f>'Class IV'!N21</f>
        <v>11</v>
      </c>
      <c r="E48" s="7" t="s">
        <v>48</v>
      </c>
      <c r="F48" s="8">
        <f>'Class IV'!D22</f>
        <v>10</v>
      </c>
      <c r="G48" s="8">
        <f>'Class IV'!E22</f>
        <v>11</v>
      </c>
      <c r="H48" s="8">
        <f>'Class IV'!F22</f>
        <v>10</v>
      </c>
      <c r="I48" s="8">
        <f>'Class IV'!G22</f>
        <v>10</v>
      </c>
      <c r="J48" s="8">
        <f>'Class IV'!H22</f>
        <v>11</v>
      </c>
      <c r="K48" s="8">
        <f>'Class IV'!I22</f>
        <v>11</v>
      </c>
      <c r="L48" s="8">
        <f>'Class IV'!J22</f>
        <v>10</v>
      </c>
      <c r="M48" s="27">
        <f>'Class IV'!K22</f>
        <v>10</v>
      </c>
      <c r="O48" s="25"/>
    </row>
    <row r="49" spans="1:15" ht="18.600000000000001" thickBot="1">
      <c r="A49" s="195"/>
      <c r="B49" s="5" t="s">
        <v>44</v>
      </c>
      <c r="C49" s="20">
        <f>'Class IV'!N22</f>
        <v>11</v>
      </c>
      <c r="E49" s="10" t="s">
        <v>50</v>
      </c>
      <c r="F49" s="11">
        <f>'Class IV'!D23</f>
        <v>0.90909090909090906</v>
      </c>
      <c r="G49" s="11">
        <f>'Class IV'!E23</f>
        <v>1</v>
      </c>
      <c r="H49" s="11">
        <f>'Class IV'!F23</f>
        <v>0.90909090909090906</v>
      </c>
      <c r="I49" s="11">
        <f>'Class IV'!G23</f>
        <v>0.90909090909090906</v>
      </c>
      <c r="J49" s="11">
        <f>'Class IV'!H23</f>
        <v>1</v>
      </c>
      <c r="K49" s="11">
        <f>'Class IV'!I23</f>
        <v>1</v>
      </c>
      <c r="L49" s="11">
        <f>'Class IV'!J23</f>
        <v>0.90909090909090906</v>
      </c>
      <c r="M49" s="28">
        <f>'Class IV'!K23</f>
        <v>0.90909090909090906</v>
      </c>
      <c r="O49" s="25"/>
    </row>
    <row r="50" spans="1:15" ht="18.600000000000001" thickBot="1">
      <c r="A50" s="195"/>
      <c r="B50" s="5" t="s">
        <v>47</v>
      </c>
      <c r="C50" s="20">
        <f>'Class IV'!N23</f>
        <v>10</v>
      </c>
      <c r="E50" s="10" t="s">
        <v>52</v>
      </c>
      <c r="F50" s="12">
        <f>'Class IV'!D24</f>
        <v>1</v>
      </c>
      <c r="G50" s="12">
        <f>'Class IV'!E24</f>
        <v>0</v>
      </c>
      <c r="H50" s="12">
        <f>'Class IV'!F24</f>
        <v>1</v>
      </c>
      <c r="I50" s="12">
        <f>'Class IV'!G24</f>
        <v>1</v>
      </c>
      <c r="J50" s="12">
        <f>'Class IV'!H24</f>
        <v>0</v>
      </c>
      <c r="K50" s="12">
        <f>'Class IV'!I24</f>
        <v>0</v>
      </c>
      <c r="L50" s="12">
        <f>'Class IV'!J24</f>
        <v>1</v>
      </c>
      <c r="M50" s="29">
        <f>'Class IV'!K24</f>
        <v>1</v>
      </c>
      <c r="O50" s="25"/>
    </row>
    <row r="51" spans="1:15" ht="18.600000000000001" thickBot="1">
      <c r="A51" s="195"/>
      <c r="B51" s="5" t="s">
        <v>49</v>
      </c>
      <c r="C51" s="21">
        <f>C50/C49</f>
        <v>0.90909090909090906</v>
      </c>
      <c r="E51" s="14" t="s">
        <v>54</v>
      </c>
      <c r="F51" s="15">
        <f>'Class IV'!D25</f>
        <v>9.0909090909090939E-2</v>
      </c>
      <c r="G51" s="15">
        <f>'Class IV'!E25</f>
        <v>0</v>
      </c>
      <c r="H51" s="15">
        <f>'Class IV'!F25</f>
        <v>9.0909090909090939E-2</v>
      </c>
      <c r="I51" s="15">
        <f>'Class IV'!G25</f>
        <v>9.0909090909090939E-2</v>
      </c>
      <c r="J51" s="15">
        <f>'Class IV'!H25</f>
        <v>0</v>
      </c>
      <c r="K51" s="15">
        <f>'Class IV'!I25</f>
        <v>0</v>
      </c>
      <c r="L51" s="15">
        <f>'Class IV'!J25</f>
        <v>9.0909090909090939E-2</v>
      </c>
      <c r="M51" s="30">
        <f>'Class IV'!K25</f>
        <v>9.0909090909090939E-2</v>
      </c>
      <c r="O51" s="25"/>
    </row>
    <row r="52" spans="1:15" ht="18.600000000000001" thickBot="1">
      <c r="A52" s="195"/>
      <c r="B52" s="5" t="s">
        <v>51</v>
      </c>
      <c r="C52" s="20">
        <f>C49-C50</f>
        <v>1</v>
      </c>
      <c r="O52" s="25"/>
    </row>
    <row r="53" spans="1:15" ht="18.600000000000001" thickBot="1">
      <c r="A53" s="196"/>
      <c r="B53" s="5" t="s">
        <v>53</v>
      </c>
      <c r="C53" s="22">
        <f>C52/C49</f>
        <v>9.0909090909090912E-2</v>
      </c>
      <c r="O53" s="25"/>
    </row>
    <row r="54" spans="1:15" ht="18.600000000000001" thickBot="1">
      <c r="A54" s="194">
        <v>7</v>
      </c>
      <c r="B54" s="147" t="s">
        <v>165</v>
      </c>
      <c r="C54" s="148"/>
      <c r="E54" s="2" t="s">
        <v>45</v>
      </c>
      <c r="F54" s="3" t="s">
        <v>46</v>
      </c>
      <c r="G54" s="3" t="s">
        <v>7</v>
      </c>
      <c r="H54" s="3" t="s">
        <v>56</v>
      </c>
      <c r="I54" s="3" t="s">
        <v>8</v>
      </c>
      <c r="J54" s="3" t="s">
        <v>57</v>
      </c>
      <c r="K54" s="26" t="s">
        <v>85</v>
      </c>
      <c r="L54" s="26" t="s">
        <v>59</v>
      </c>
      <c r="O54" s="25"/>
    </row>
    <row r="55" spans="1:15" ht="18">
      <c r="A55" s="195"/>
      <c r="B55" s="5" t="s">
        <v>43</v>
      </c>
      <c r="C55" s="20">
        <f>'Class III'!M41</f>
        <v>32</v>
      </c>
      <c r="E55" s="7" t="s">
        <v>48</v>
      </c>
      <c r="F55" s="8">
        <f>'Class III'!C42</f>
        <v>29</v>
      </c>
      <c r="G55" s="8">
        <f>'Class III'!D42</f>
        <v>29</v>
      </c>
      <c r="H55" s="8">
        <f>'Class III'!E42</f>
        <v>30</v>
      </c>
      <c r="I55" s="8">
        <f>'Class III'!F42</f>
        <v>32</v>
      </c>
      <c r="J55" s="8">
        <f>'Class III'!G42</f>
        <v>32</v>
      </c>
      <c r="K55" s="8">
        <f>'Class III'!H42</f>
        <v>28</v>
      </c>
      <c r="L55" s="27">
        <f>'Class III'!I42</f>
        <v>31</v>
      </c>
      <c r="O55" s="25"/>
    </row>
    <row r="56" spans="1:15" ht="18">
      <c r="A56" s="195"/>
      <c r="B56" s="5" t="s">
        <v>44</v>
      </c>
      <c r="C56" s="20">
        <f>'Class III'!M42</f>
        <v>32</v>
      </c>
      <c r="E56" s="10" t="s">
        <v>50</v>
      </c>
      <c r="F56" s="11">
        <f>'Class III'!C43</f>
        <v>0.90625</v>
      </c>
      <c r="G56" s="11">
        <f>'Class III'!D43</f>
        <v>0.90625</v>
      </c>
      <c r="H56" s="11">
        <f>'Class III'!E43</f>
        <v>0.9375</v>
      </c>
      <c r="I56" s="11">
        <f>'Class III'!F43</f>
        <v>1</v>
      </c>
      <c r="J56" s="11">
        <f>'Class III'!G43</f>
        <v>1</v>
      </c>
      <c r="K56" s="11">
        <f>'Class III'!H43</f>
        <v>0.875</v>
      </c>
      <c r="L56" s="28">
        <f>'Class III'!I43</f>
        <v>0.96875</v>
      </c>
      <c r="O56" s="25"/>
    </row>
    <row r="57" spans="1:15" ht="18">
      <c r="A57" s="195"/>
      <c r="B57" s="5" t="s">
        <v>47</v>
      </c>
      <c r="C57" s="20">
        <f>'Class III'!M43</f>
        <v>30</v>
      </c>
      <c r="E57" s="10" t="s">
        <v>52</v>
      </c>
      <c r="F57" s="12">
        <f>'Class III'!C44</f>
        <v>3</v>
      </c>
      <c r="G57" s="12">
        <f>'Class III'!D44</f>
        <v>3</v>
      </c>
      <c r="H57" s="12">
        <f>'Class III'!E44</f>
        <v>2</v>
      </c>
      <c r="I57" s="12">
        <f>'Class III'!F44</f>
        <v>0</v>
      </c>
      <c r="J57" s="12">
        <f>'Class III'!G44</f>
        <v>0</v>
      </c>
      <c r="K57" s="12">
        <f>'Class III'!H44</f>
        <v>4</v>
      </c>
      <c r="L57" s="29">
        <f>'Class III'!I44</f>
        <v>1</v>
      </c>
      <c r="O57" s="25"/>
    </row>
    <row r="58" spans="1:15" ht="18">
      <c r="A58" s="195"/>
      <c r="B58" s="5" t="s">
        <v>49</v>
      </c>
      <c r="C58" s="21">
        <f>C57/C56</f>
        <v>0.9375</v>
      </c>
      <c r="E58" s="14" t="s">
        <v>54</v>
      </c>
      <c r="F58" s="15">
        <f t="shared" ref="F58:L58" si="6">100%-F56</f>
        <v>9.375E-2</v>
      </c>
      <c r="G58" s="15">
        <f t="shared" si="6"/>
        <v>9.375E-2</v>
      </c>
      <c r="H58" s="15">
        <f t="shared" si="6"/>
        <v>6.25E-2</v>
      </c>
      <c r="I58" s="15">
        <f t="shared" si="6"/>
        <v>0</v>
      </c>
      <c r="J58" s="15">
        <f t="shared" si="6"/>
        <v>0</v>
      </c>
      <c r="K58" s="15">
        <f t="shared" si="6"/>
        <v>0.125</v>
      </c>
      <c r="L58" s="30">
        <f t="shared" si="6"/>
        <v>3.125E-2</v>
      </c>
      <c r="O58" s="25"/>
    </row>
    <row r="59" spans="1:15" ht="18">
      <c r="A59" s="195"/>
      <c r="B59" s="5" t="s">
        <v>51</v>
      </c>
      <c r="C59" s="20">
        <f>C56-C57</f>
        <v>2</v>
      </c>
      <c r="O59" s="25"/>
    </row>
    <row r="60" spans="1:15" ht="18">
      <c r="A60" s="196"/>
      <c r="B60" s="5" t="s">
        <v>53</v>
      </c>
      <c r="C60" s="22">
        <f>C59/C56</f>
        <v>6.25E-2</v>
      </c>
      <c r="O60" s="25"/>
    </row>
    <row r="61" spans="1:15" ht="18">
      <c r="A61" s="194">
        <v>8</v>
      </c>
      <c r="B61" s="147" t="s">
        <v>114</v>
      </c>
      <c r="C61" s="148"/>
      <c r="E61" s="2" t="s">
        <v>45</v>
      </c>
      <c r="F61" s="3" t="s">
        <v>46</v>
      </c>
      <c r="G61" s="3" t="s">
        <v>7</v>
      </c>
      <c r="H61" s="3" t="s">
        <v>56</v>
      </c>
      <c r="I61" s="3" t="s">
        <v>8</v>
      </c>
      <c r="J61" s="3" t="s">
        <v>57</v>
      </c>
      <c r="K61" s="26" t="s">
        <v>85</v>
      </c>
      <c r="L61" s="26" t="s">
        <v>59</v>
      </c>
      <c r="O61" s="25"/>
    </row>
    <row r="62" spans="1:15" ht="18">
      <c r="A62" s="195"/>
      <c r="B62" s="5" t="s">
        <v>43</v>
      </c>
      <c r="C62" s="20">
        <f>'Class  II'!M30</f>
        <v>21</v>
      </c>
      <c r="E62" s="23" t="s">
        <v>48</v>
      </c>
      <c r="F62" s="24">
        <f>'Class  II'!C30</f>
        <v>20</v>
      </c>
      <c r="G62" s="24">
        <f>'Class  II'!D30</f>
        <v>19</v>
      </c>
      <c r="H62" s="24">
        <f>'Class  II'!E30</f>
        <v>21</v>
      </c>
      <c r="I62" s="24">
        <f>'Class  II'!F30</f>
        <v>20</v>
      </c>
      <c r="J62" s="24">
        <f>'Class  II'!G30</f>
        <v>21</v>
      </c>
      <c r="K62" s="24">
        <f>'Class  II'!H30</f>
        <v>18</v>
      </c>
      <c r="L62" s="32">
        <f>'Class  II'!I30</f>
        <v>21</v>
      </c>
      <c r="O62" s="25"/>
    </row>
    <row r="63" spans="1:15" ht="18">
      <c r="A63" s="195"/>
      <c r="B63" s="5" t="s">
        <v>44</v>
      </c>
      <c r="C63" s="20">
        <f>'Class  II'!M31</f>
        <v>21</v>
      </c>
      <c r="E63" s="10" t="s">
        <v>50</v>
      </c>
      <c r="F63" s="11">
        <f>'Class  II'!C31</f>
        <v>0.95238095238095233</v>
      </c>
      <c r="G63" s="11">
        <f>'Class  II'!D31</f>
        <v>0.90476190476190477</v>
      </c>
      <c r="H63" s="11">
        <f>'Class  II'!E31</f>
        <v>1</v>
      </c>
      <c r="I63" s="11">
        <f>'Class  II'!F31</f>
        <v>0.95238095238095233</v>
      </c>
      <c r="J63" s="11">
        <f>'Class  II'!G31</f>
        <v>1</v>
      </c>
      <c r="K63" s="11">
        <f>'Class  II'!H31</f>
        <v>0.8571428571428571</v>
      </c>
      <c r="L63" s="28">
        <f>'Class  II'!I31</f>
        <v>1</v>
      </c>
      <c r="O63" s="25"/>
    </row>
    <row r="64" spans="1:15" ht="18">
      <c r="A64" s="195"/>
      <c r="B64" s="5" t="s">
        <v>47</v>
      </c>
      <c r="C64" s="20">
        <f>'Class  II'!M32</f>
        <v>20</v>
      </c>
      <c r="E64" s="10" t="s">
        <v>52</v>
      </c>
      <c r="F64" s="12">
        <f>'Class  II'!C32</f>
        <v>1</v>
      </c>
      <c r="G64" s="12">
        <f>'Class  II'!D32</f>
        <v>2</v>
      </c>
      <c r="H64" s="12">
        <f>'Class  II'!E32</f>
        <v>0</v>
      </c>
      <c r="I64" s="12">
        <f>'Class  II'!F32</f>
        <v>1</v>
      </c>
      <c r="J64" s="12">
        <f>'Class  II'!G32</f>
        <v>0</v>
      </c>
      <c r="K64" s="12">
        <f>'Class  II'!H32</f>
        <v>3</v>
      </c>
      <c r="L64" s="29">
        <f>'Class  II'!I32</f>
        <v>0</v>
      </c>
      <c r="O64" s="25"/>
    </row>
    <row r="65" spans="1:18" ht="18">
      <c r="A65" s="195"/>
      <c r="B65" s="5" t="s">
        <v>49</v>
      </c>
      <c r="C65" s="21">
        <f>C64/C63</f>
        <v>0.95238095238095233</v>
      </c>
      <c r="E65" s="14" t="s">
        <v>54</v>
      </c>
      <c r="F65" s="15">
        <f t="shared" ref="F65:L65" si="7">100%-F63</f>
        <v>4.7619047619047672E-2</v>
      </c>
      <c r="G65" s="15">
        <f t="shared" si="7"/>
        <v>9.5238095238095233E-2</v>
      </c>
      <c r="H65" s="15">
        <f t="shared" si="7"/>
        <v>0</v>
      </c>
      <c r="I65" s="15">
        <f t="shared" si="7"/>
        <v>4.7619047619047672E-2</v>
      </c>
      <c r="J65" s="15">
        <f t="shared" si="7"/>
        <v>0</v>
      </c>
      <c r="K65" s="15">
        <f t="shared" si="7"/>
        <v>0.1428571428571429</v>
      </c>
      <c r="L65" s="30">
        <f t="shared" si="7"/>
        <v>0</v>
      </c>
      <c r="O65" s="25"/>
    </row>
    <row r="66" spans="1:18" ht="18">
      <c r="A66" s="195"/>
      <c r="B66" s="5" t="s">
        <v>51</v>
      </c>
      <c r="C66" s="20">
        <f>C63-C64</f>
        <v>1</v>
      </c>
      <c r="O66" s="25"/>
    </row>
    <row r="67" spans="1:18" ht="18">
      <c r="A67" s="196"/>
      <c r="B67" s="5" t="s">
        <v>53</v>
      </c>
      <c r="C67" s="22">
        <f>C66/C63</f>
        <v>4.7619047619047616E-2</v>
      </c>
      <c r="O67" s="25"/>
    </row>
    <row r="68" spans="1:18" ht="18">
      <c r="A68" s="194">
        <v>9</v>
      </c>
      <c r="B68" s="147" t="s">
        <v>86</v>
      </c>
      <c r="C68" s="148"/>
      <c r="E68" s="2" t="s">
        <v>45</v>
      </c>
      <c r="F68" s="3" t="s">
        <v>46</v>
      </c>
      <c r="G68" s="3" t="s">
        <v>7</v>
      </c>
      <c r="H68" s="3" t="s">
        <v>56</v>
      </c>
      <c r="I68" s="3" t="s">
        <v>8</v>
      </c>
      <c r="J68" s="3" t="s">
        <v>57</v>
      </c>
      <c r="K68" s="26" t="s">
        <v>85</v>
      </c>
      <c r="L68" s="26" t="s">
        <v>59</v>
      </c>
      <c r="O68" s="25"/>
    </row>
    <row r="69" spans="1:18" ht="18">
      <c r="A69" s="195"/>
      <c r="B69" s="5" t="s">
        <v>43</v>
      </c>
      <c r="C69" s="20">
        <f>'Class I'!L23</f>
        <v>0</v>
      </c>
      <c r="E69" s="23" t="s">
        <v>48</v>
      </c>
      <c r="F69" s="24">
        <f>'Class I'!C23</f>
        <v>0</v>
      </c>
      <c r="G69" s="24">
        <f>'Class I'!D23</f>
        <v>0</v>
      </c>
      <c r="H69" s="24">
        <f>'Class I'!E23</f>
        <v>0</v>
      </c>
      <c r="I69" s="24">
        <f>'Class I'!F23</f>
        <v>0</v>
      </c>
      <c r="J69" s="24">
        <f>'Class I'!G23</f>
        <v>0</v>
      </c>
      <c r="K69" s="24">
        <f>'Class I'!H23</f>
        <v>0</v>
      </c>
      <c r="L69" s="32">
        <f>'Class I'!I23</f>
        <v>0</v>
      </c>
      <c r="O69" s="25"/>
    </row>
    <row r="70" spans="1:18" ht="18">
      <c r="A70" s="195"/>
      <c r="B70" s="5" t="s">
        <v>44</v>
      </c>
      <c r="C70" s="20">
        <f>'Class I'!L24</f>
        <v>0</v>
      </c>
      <c r="E70" s="10" t="s">
        <v>50</v>
      </c>
      <c r="F70" s="11">
        <f>F69/13</f>
        <v>0</v>
      </c>
      <c r="G70" s="11">
        <f t="shared" ref="G70:L70" si="8">G69/13</f>
        <v>0</v>
      </c>
      <c r="H70" s="11">
        <f t="shared" si="8"/>
        <v>0</v>
      </c>
      <c r="I70" s="11">
        <f t="shared" si="8"/>
        <v>0</v>
      </c>
      <c r="J70" s="11">
        <f t="shared" si="8"/>
        <v>0</v>
      </c>
      <c r="K70" s="11">
        <f t="shared" si="8"/>
        <v>0</v>
      </c>
      <c r="L70" s="28">
        <f t="shared" si="8"/>
        <v>0</v>
      </c>
      <c r="O70" s="25"/>
    </row>
    <row r="71" spans="1:18" ht="18">
      <c r="A71" s="195"/>
      <c r="B71" s="5" t="s">
        <v>47</v>
      </c>
      <c r="C71" s="20">
        <f>'Class I'!L25</f>
        <v>0</v>
      </c>
      <c r="E71" s="10" t="s">
        <v>52</v>
      </c>
      <c r="F71" s="12">
        <f>'Class I'!C25</f>
        <v>0</v>
      </c>
      <c r="G71" s="12">
        <f>'Class I'!D25</f>
        <v>0</v>
      </c>
      <c r="H71" s="12">
        <f>'Class I'!E25</f>
        <v>0</v>
      </c>
      <c r="I71" s="12">
        <f>'Class I'!F25</f>
        <v>0</v>
      </c>
      <c r="J71" s="12">
        <f>'Class I'!G25</f>
        <v>0</v>
      </c>
      <c r="K71" s="12">
        <f>'Class I'!H25</f>
        <v>0</v>
      </c>
      <c r="L71" s="29">
        <f>'Class I'!I25</f>
        <v>0</v>
      </c>
      <c r="O71" s="25"/>
    </row>
    <row r="72" spans="1:18" ht="18">
      <c r="A72" s="195"/>
      <c r="B72" s="5" t="s">
        <v>49</v>
      </c>
      <c r="C72" s="21" t="e">
        <f>C71/C70</f>
        <v>#DIV/0!</v>
      </c>
      <c r="E72" s="14" t="s">
        <v>54</v>
      </c>
      <c r="F72" s="15">
        <f>100%-F70</f>
        <v>1</v>
      </c>
      <c r="G72" s="15">
        <f t="shared" ref="G72:L72" si="9">100%-G70</f>
        <v>1</v>
      </c>
      <c r="H72" s="15">
        <f t="shared" si="9"/>
        <v>1</v>
      </c>
      <c r="I72" s="15">
        <f t="shared" si="9"/>
        <v>1</v>
      </c>
      <c r="J72" s="15">
        <f t="shared" si="9"/>
        <v>1</v>
      </c>
      <c r="K72" s="15">
        <f t="shared" si="9"/>
        <v>1</v>
      </c>
      <c r="L72" s="30">
        <f t="shared" si="9"/>
        <v>1</v>
      </c>
      <c r="O72" s="25"/>
    </row>
    <row r="73" spans="1:18" ht="18">
      <c r="A73" s="195"/>
      <c r="B73" s="5" t="s">
        <v>51</v>
      </c>
      <c r="C73" s="20">
        <f>C70-C71</f>
        <v>0</v>
      </c>
      <c r="O73" s="25"/>
    </row>
    <row r="74" spans="1:18" ht="18">
      <c r="A74" s="196"/>
      <c r="B74" s="5" t="s">
        <v>53</v>
      </c>
      <c r="C74" s="22" t="e">
        <f>C73/C70</f>
        <v>#DIV/0!</v>
      </c>
      <c r="O74" s="25"/>
    </row>
    <row r="75" spans="1:18" ht="18">
      <c r="A75" s="194">
        <v>10</v>
      </c>
      <c r="B75" s="147" t="s">
        <v>42</v>
      </c>
      <c r="C75" s="193"/>
      <c r="E75" s="2" t="s">
        <v>45</v>
      </c>
      <c r="F75" s="3" t="s">
        <v>46</v>
      </c>
      <c r="G75" s="3" t="s">
        <v>7</v>
      </c>
      <c r="H75" s="3" t="s">
        <v>8</v>
      </c>
      <c r="I75" s="26" t="s">
        <v>9</v>
      </c>
      <c r="O75" s="25"/>
    </row>
    <row r="76" spans="1:18" ht="18">
      <c r="A76" s="195"/>
      <c r="B76" s="5" t="s">
        <v>43</v>
      </c>
      <c r="C76" s="20">
        <f>'Class Prep'!L23</f>
        <v>0</v>
      </c>
      <c r="E76" s="23" t="s">
        <v>48</v>
      </c>
      <c r="F76" s="24">
        <f>'Class Prep'!D26</f>
        <v>0</v>
      </c>
      <c r="G76" s="24">
        <f>'Class Prep'!E26</f>
        <v>0</v>
      </c>
      <c r="H76" s="24">
        <f>'Class Prep'!F26</f>
        <v>0</v>
      </c>
      <c r="I76" s="32">
        <f>'Class Prep'!H26</f>
        <v>0</v>
      </c>
      <c r="K76" s="18"/>
      <c r="L76" s="18"/>
      <c r="M76" s="18"/>
      <c r="N76" s="18"/>
      <c r="O76" s="35"/>
      <c r="P76" s="18"/>
      <c r="Q76" s="18"/>
      <c r="R76" s="31"/>
    </row>
    <row r="77" spans="1:18" ht="18">
      <c r="A77" s="195"/>
      <c r="B77" s="5" t="s">
        <v>44</v>
      </c>
      <c r="C77" s="20">
        <f>'Class Prep'!L24</f>
        <v>0</v>
      </c>
      <c r="E77" s="10" t="s">
        <v>50</v>
      </c>
      <c r="F77" s="11">
        <f>F76/15</f>
        <v>0</v>
      </c>
      <c r="G77" s="11">
        <f>G76/15</f>
        <v>0</v>
      </c>
      <c r="H77" s="11">
        <f>H76/15</f>
        <v>0</v>
      </c>
      <c r="I77" s="28">
        <f>I76/15</f>
        <v>0</v>
      </c>
      <c r="M77" s="19"/>
      <c r="O77" s="25"/>
    </row>
    <row r="78" spans="1:18" ht="18">
      <c r="A78" s="195"/>
      <c r="B78" s="5" t="s">
        <v>47</v>
      </c>
      <c r="C78" s="20">
        <f>'Class Prep'!L25</f>
        <v>0</v>
      </c>
      <c r="E78" s="10" t="s">
        <v>52</v>
      </c>
      <c r="F78" s="12">
        <f>'Class Prep'!D28</f>
        <v>0</v>
      </c>
      <c r="G78" s="12">
        <f>'Class Prep'!E28</f>
        <v>0</v>
      </c>
      <c r="H78" s="12">
        <f>'Class Prep'!F28</f>
        <v>0</v>
      </c>
      <c r="I78" s="29">
        <f>'Class Prep'!H28</f>
        <v>0</v>
      </c>
      <c r="M78" s="19"/>
      <c r="O78" s="25"/>
    </row>
    <row r="79" spans="1:18" ht="18">
      <c r="A79" s="195"/>
      <c r="B79" s="5" t="s">
        <v>49</v>
      </c>
      <c r="C79" s="21" t="e">
        <f>C78/C77</f>
        <v>#DIV/0!</v>
      </c>
      <c r="E79" s="14" t="s">
        <v>54</v>
      </c>
      <c r="F79" s="15">
        <f>100%-F77</f>
        <v>1</v>
      </c>
      <c r="G79" s="15">
        <f>100%-G77</f>
        <v>1</v>
      </c>
      <c r="H79" s="15">
        <f>100%-H77</f>
        <v>1</v>
      </c>
      <c r="I79" s="30">
        <f>100%-I77</f>
        <v>1</v>
      </c>
      <c r="M79" s="19"/>
      <c r="O79" s="25"/>
    </row>
    <row r="80" spans="1:18" ht="18">
      <c r="A80" s="195"/>
      <c r="B80" s="5" t="s">
        <v>51</v>
      </c>
      <c r="C80" s="20">
        <f>C77-C78</f>
        <v>0</v>
      </c>
      <c r="M80" s="19"/>
      <c r="O80" s="25"/>
    </row>
    <row r="81" spans="1:15" ht="18">
      <c r="A81" s="196"/>
      <c r="B81" s="33" t="s">
        <v>53</v>
      </c>
      <c r="C81" s="22" t="e">
        <f>C80/C77</f>
        <v>#DIV/0!</v>
      </c>
      <c r="D81" s="34"/>
      <c r="E81" s="34"/>
      <c r="F81" s="34"/>
      <c r="G81" s="34"/>
      <c r="H81" s="34"/>
      <c r="I81" s="34"/>
      <c r="J81" s="34"/>
      <c r="K81" s="34"/>
      <c r="L81" s="34"/>
      <c r="M81" s="36"/>
      <c r="N81" s="34"/>
      <c r="O81" s="37"/>
    </row>
    <row r="82" spans="1:15" ht="18">
      <c r="M82" s="19"/>
    </row>
    <row r="83" spans="1:15" ht="18">
      <c r="G83" s="18"/>
      <c r="H83" s="18"/>
      <c r="I83" s="18"/>
      <c r="J83" s="18"/>
      <c r="K83" s="18"/>
      <c r="M83" s="19"/>
    </row>
    <row r="84" spans="1:15" ht="18">
      <c r="I84" s="19"/>
    </row>
    <row r="85" spans="1:15" ht="18">
      <c r="I85" s="19"/>
    </row>
    <row r="86" spans="1:15" ht="18">
      <c r="I86" s="19"/>
    </row>
    <row r="87" spans="1:15" ht="18">
      <c r="I87" s="19"/>
    </row>
    <row r="88" spans="1:15" ht="18">
      <c r="I88" s="19"/>
    </row>
    <row r="89" spans="1:15" ht="18">
      <c r="I89" s="19"/>
    </row>
    <row r="90" spans="1:15" ht="18">
      <c r="I90" s="19"/>
    </row>
  </sheetData>
  <mergeCells count="24">
    <mergeCell ref="B54:C54"/>
    <mergeCell ref="A1:O1"/>
    <mergeCell ref="A2:O2"/>
    <mergeCell ref="A3:O3"/>
    <mergeCell ref="B5:C5"/>
    <mergeCell ref="B12:C12"/>
    <mergeCell ref="B47:C47"/>
    <mergeCell ref="A47:A53"/>
    <mergeCell ref="B61:C61"/>
    <mergeCell ref="B68:C68"/>
    <mergeCell ref="B75:C75"/>
    <mergeCell ref="A5:A11"/>
    <mergeCell ref="A12:A18"/>
    <mergeCell ref="A19:A25"/>
    <mergeCell ref="A26:A32"/>
    <mergeCell ref="A40:A46"/>
    <mergeCell ref="A54:A60"/>
    <mergeCell ref="A61:A67"/>
    <mergeCell ref="A68:A74"/>
    <mergeCell ref="A75:A81"/>
    <mergeCell ref="B19:C19"/>
    <mergeCell ref="B26:C26"/>
    <mergeCell ref="B33:C33"/>
    <mergeCell ref="B40:C40"/>
  </mergeCells>
  <conditionalFormatting sqref="F77:I77">
    <cfRule type="cellIs" dxfId="12" priority="5" operator="lessThan">
      <formula>0.5</formula>
    </cfRule>
  </conditionalFormatting>
  <conditionalFormatting sqref="F56:L56">
    <cfRule type="cellIs" dxfId="11" priority="4" operator="lessThan">
      <formula>0.5</formula>
    </cfRule>
  </conditionalFormatting>
  <conditionalFormatting sqref="F63:L63">
    <cfRule type="cellIs" dxfId="10" priority="7" operator="lessThan">
      <formula>0.5</formula>
    </cfRule>
  </conditionalFormatting>
  <conditionalFormatting sqref="F70:L70">
    <cfRule type="cellIs" dxfId="9" priority="6" operator="lessThan">
      <formula>0.5</formula>
    </cfRule>
  </conditionalFormatting>
  <conditionalFormatting sqref="F7:M7">
    <cfRule type="cellIs" dxfId="8" priority="13" operator="lessThan">
      <formula>0.5</formula>
    </cfRule>
  </conditionalFormatting>
  <conditionalFormatting sqref="F14:M14">
    <cfRule type="cellIs" dxfId="7" priority="12" operator="lessThan">
      <formula>0.5</formula>
    </cfRule>
  </conditionalFormatting>
  <conditionalFormatting sqref="F21:M21">
    <cfRule type="cellIs" dxfId="6" priority="2" operator="lessThan">
      <formula>0.5</formula>
    </cfRule>
  </conditionalFormatting>
  <conditionalFormatting sqref="F28:M28">
    <cfRule type="cellIs" dxfId="5" priority="10" operator="lessThan">
      <formula>0.5</formula>
    </cfRule>
  </conditionalFormatting>
  <conditionalFormatting sqref="F35:M35">
    <cfRule type="cellIs" dxfId="4" priority="9" operator="lessThan">
      <formula>0.5</formula>
    </cfRule>
  </conditionalFormatting>
  <conditionalFormatting sqref="F42:M42">
    <cfRule type="cellIs" dxfId="3" priority="8" operator="lessThan">
      <formula>0.5</formula>
    </cfRule>
  </conditionalFormatting>
  <conditionalFormatting sqref="F49:M49">
    <cfRule type="cellIs" dxfId="2" priority="1" operator="lessThan">
      <formula>0.5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Class Prep</vt:lpstr>
      <vt:lpstr>Class I</vt:lpstr>
      <vt:lpstr>Class  II</vt:lpstr>
      <vt:lpstr>Class III</vt:lpstr>
      <vt:lpstr>Class IV</vt:lpstr>
      <vt:lpstr>Class V</vt:lpstr>
      <vt:lpstr>Class VI</vt:lpstr>
      <vt:lpstr>Class VII</vt:lpstr>
      <vt:lpstr>Class VIII</vt:lpstr>
      <vt:lpstr>Class IX</vt:lpstr>
      <vt:lpstr>Class X</vt:lpstr>
      <vt:lpstr>Summary</vt:lpstr>
      <vt:lpstr>'Class  II'!Print_Area</vt:lpstr>
      <vt:lpstr>'Class I'!Print_Area</vt:lpstr>
      <vt:lpstr>'Class III'!Print_Area</vt:lpstr>
      <vt:lpstr>'Class IV'!Print_Area</vt:lpstr>
      <vt:lpstr>'Class IX'!Print_Area</vt:lpstr>
      <vt:lpstr>'Class Prep'!Print_Area</vt:lpstr>
      <vt:lpstr>'Class V'!Print_Area</vt:lpstr>
      <vt:lpstr>'Class VI'!Print_Area</vt:lpstr>
      <vt:lpstr>'Class VII'!Print_Area</vt:lpstr>
      <vt:lpstr>'Class VIII'!Print_Area</vt:lpstr>
      <vt:lpstr>'Class 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 Asif - Senior Manager Programs</dc:creator>
  <cp:lastModifiedBy>2K20-BSIT-05</cp:lastModifiedBy>
  <cp:lastPrinted>2025-11-08T04:15:20Z</cp:lastPrinted>
  <dcterms:created xsi:type="dcterms:W3CDTF">2023-12-17T09:12:00Z</dcterms:created>
  <dcterms:modified xsi:type="dcterms:W3CDTF">2025-11-27T08:00:16Z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CF643AC2707E4687956CEFB77D44A6EE_12</vt:lpwstr>
  </property>
</Properties>
</file>